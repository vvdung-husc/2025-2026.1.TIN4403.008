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Laptrinhungdungdidong\2025-2026.1.TIN4403.008\"/>
    </mc:Choice>
  </mc:AlternateContent>
  <bookViews>
    <workbookView showHorizontalScroll="0" showVerticalScroll="0" xWindow="2100" yWindow="1580" windowWidth="31620" windowHeight="17690" activeTab="1"/>
  </bookViews>
  <sheets>
    <sheet name="DANHSACHSINHVIEN" sheetId="2" r:id="rId1"/>
    <sheet name="Sheet1" sheetId="3" r:id="rId2"/>
  </sheets>
  <calcPr calcId="162913"/>
</workbook>
</file>

<file path=xl/calcChain.xml><?xml version="1.0" encoding="utf-8"?>
<calcChain xmlns="http://schemas.openxmlformats.org/spreadsheetml/2006/main">
  <c r="V22" i="2" l="1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U2" i="2"/>
  <c r="T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R2" i="2"/>
  <c r="P2" i="2"/>
  <c r="O2" i="2"/>
  <c r="N2" i="2"/>
  <c r="M2" i="2"/>
  <c r="Q2" i="2" s="1"/>
  <c r="L2" i="2"/>
  <c r="K2" i="2"/>
  <c r="J2" i="2"/>
  <c r="I2" i="2"/>
</calcChain>
</file>

<file path=xl/sharedStrings.xml><?xml version="1.0" encoding="utf-8"?>
<sst xmlns="http://schemas.openxmlformats.org/spreadsheetml/2006/main" count="549" uniqueCount="413">
  <si>
    <t>STT</t>
  </si>
  <si>
    <t>Mã sinh viên</t>
  </si>
  <si>
    <t>Họ</t>
  </si>
  <si>
    <t>Tên</t>
  </si>
  <si>
    <t>Ngày sinh</t>
  </si>
  <si>
    <t>Khóa học</t>
  </si>
  <si>
    <t>22T1020543</t>
  </si>
  <si>
    <t>Tôn Thất</t>
  </si>
  <si>
    <t>Bách</t>
  </si>
  <si>
    <t>03/12/2004</t>
  </si>
  <si>
    <t>K46</t>
  </si>
  <si>
    <t>22T1020022</t>
  </si>
  <si>
    <t>Nguyễn Kim</t>
  </si>
  <si>
    <t>Bảng</t>
  </si>
  <si>
    <t>29/05/2004</t>
  </si>
  <si>
    <t>22T1020023</t>
  </si>
  <si>
    <t>Phan Văn Tôn</t>
  </si>
  <si>
    <t>Bảo</t>
  </si>
  <si>
    <t>26/06/2004</t>
  </si>
  <si>
    <t>22T1020541</t>
  </si>
  <si>
    <t>Hồ Xuân</t>
  </si>
  <si>
    <t>Bắc</t>
  </si>
  <si>
    <t>18/04/2004</t>
  </si>
  <si>
    <t>22T1020031</t>
  </si>
  <si>
    <t>Hồ Thị Thanh</t>
  </si>
  <si>
    <t>Bình</t>
  </si>
  <si>
    <t>15/11/2004</t>
  </si>
  <si>
    <t>22T1020067</t>
  </si>
  <si>
    <t>Hồ Văn</t>
  </si>
  <si>
    <t>Diễn</t>
  </si>
  <si>
    <t>18/12/2004</t>
  </si>
  <si>
    <t>22T1020071</t>
  </si>
  <si>
    <t>Nguyễn Thành</t>
  </si>
  <si>
    <t>Doanh</t>
  </si>
  <si>
    <t>27/04/2004</t>
  </si>
  <si>
    <t>22T1020579</t>
  </si>
  <si>
    <t>Đào Thị Thùy</t>
  </si>
  <si>
    <t>Dương</t>
  </si>
  <si>
    <t>20/10/2004</t>
  </si>
  <si>
    <t>22T1020056</t>
  </si>
  <si>
    <t>Nguyễn Hữu</t>
  </si>
  <si>
    <t>Đạt</t>
  </si>
  <si>
    <t>02/10/2003</t>
  </si>
  <si>
    <t>22T1020569</t>
  </si>
  <si>
    <t>07/08/2004</t>
  </si>
  <si>
    <t>22T1020564</t>
  </si>
  <si>
    <t>Nguyễn Văn Tiến</t>
  </si>
  <si>
    <t>02/06/2004</t>
  </si>
  <si>
    <t>22T1020106</t>
  </si>
  <si>
    <t>Châu Văn</t>
  </si>
  <si>
    <t>Hảo</t>
  </si>
  <si>
    <t>14/02/2004</t>
  </si>
  <si>
    <t>22T1020604</t>
  </si>
  <si>
    <t>Bùi Khắc</t>
  </si>
  <si>
    <t>Hiếu</t>
  </si>
  <si>
    <t>20/09/2004</t>
  </si>
  <si>
    <t>22T1020116</t>
  </si>
  <si>
    <t>Trương Đình Minh</t>
  </si>
  <si>
    <t>07/07/2004</t>
  </si>
  <si>
    <t>22T1020131</t>
  </si>
  <si>
    <t>Lê Nhữ</t>
  </si>
  <si>
    <t>Hoàng</t>
  </si>
  <si>
    <t>30/10/2004</t>
  </si>
  <si>
    <t>22T1020122</t>
  </si>
  <si>
    <t>Nguyễn Việt</t>
  </si>
  <si>
    <t>Hòa</t>
  </si>
  <si>
    <t>04/11/2004</t>
  </si>
  <si>
    <t>22T1020156</t>
  </si>
  <si>
    <t>Châu Văn Trường</t>
  </si>
  <si>
    <t>Huy</t>
  </si>
  <si>
    <t>28/02/2004</t>
  </si>
  <si>
    <t>22T1020147</t>
  </si>
  <si>
    <t>Võ Lê Tuấn</t>
  </si>
  <si>
    <t>Hưng</t>
  </si>
  <si>
    <t>20/03/2004</t>
  </si>
  <si>
    <t>22T1020635</t>
  </si>
  <si>
    <t>Ngô Trần Thuận</t>
  </si>
  <si>
    <t>Khang</t>
  </si>
  <si>
    <t>24/01/2004</t>
  </si>
  <si>
    <t>22T1020171</t>
  </si>
  <si>
    <t>Đào Duy</t>
  </si>
  <si>
    <t>Khánh</t>
  </si>
  <si>
    <t>12/08/2004</t>
  </si>
  <si>
    <t>22T1020174</t>
  </si>
  <si>
    <t>31/01/2004</t>
  </si>
  <si>
    <t>22T1020641</t>
  </si>
  <si>
    <t>Nguyễn Đăng</t>
  </si>
  <si>
    <t>Khôi</t>
  </si>
  <si>
    <t>07/03/2004</t>
  </si>
  <si>
    <t>22T1020189</t>
  </si>
  <si>
    <t>Châu</t>
  </si>
  <si>
    <t>Kỳ</t>
  </si>
  <si>
    <t>11/06/2004</t>
  </si>
  <si>
    <t>22T1020200</t>
  </si>
  <si>
    <t>Lê Thị Thùy</t>
  </si>
  <si>
    <t>Linh</t>
  </si>
  <si>
    <t>23/04/2004</t>
  </si>
  <si>
    <t>21T1020499</t>
  </si>
  <si>
    <t>Lực</t>
  </si>
  <si>
    <t>29/01/2003</t>
  </si>
  <si>
    <t>K45</t>
  </si>
  <si>
    <t>22T1020661</t>
  </si>
  <si>
    <t>Lê Thị Khánh</t>
  </si>
  <si>
    <t>Ly</t>
  </si>
  <si>
    <t>20/01/2004</t>
  </si>
  <si>
    <t>22T1020662</t>
  </si>
  <si>
    <t>Ngô Thị Cẩm</t>
  </si>
  <si>
    <t>12/03/2004</t>
  </si>
  <si>
    <t>22T1020665</t>
  </si>
  <si>
    <t>Đỗ Tiến</t>
  </si>
  <si>
    <t>Mạnh</t>
  </si>
  <si>
    <t>19/01/2004</t>
  </si>
  <si>
    <t>22T1020666</t>
  </si>
  <si>
    <t>Nguyễn Thị Ngọc</t>
  </si>
  <si>
    <t>Mây</t>
  </si>
  <si>
    <t>06/08/2004</t>
  </si>
  <si>
    <t>21T1080070</t>
  </si>
  <si>
    <t>Huỳnh Văn</t>
  </si>
  <si>
    <t>Minh</t>
  </si>
  <si>
    <t>10/09/2003</t>
  </si>
  <si>
    <t>22T1020232</t>
  </si>
  <si>
    <t>Lê Ngọc</t>
  </si>
  <si>
    <t>19/05/2004</t>
  </si>
  <si>
    <t>22T1020239</t>
  </si>
  <si>
    <t>Lê Văn</t>
  </si>
  <si>
    <t>19/12/2004</t>
  </si>
  <si>
    <t>22T1020261</t>
  </si>
  <si>
    <t>Trương Hữu</t>
  </si>
  <si>
    <t>Ngọc</t>
  </si>
  <si>
    <t>27/06/2004</t>
  </si>
  <si>
    <t>22T1020685</t>
  </si>
  <si>
    <t>Nguyễn Vỹ</t>
  </si>
  <si>
    <t>Nguyên</t>
  </si>
  <si>
    <t>22/02/2004</t>
  </si>
  <si>
    <t>22T1020688</t>
  </si>
  <si>
    <t>Nguyễn Công</t>
  </si>
  <si>
    <t>Nhân</t>
  </si>
  <si>
    <t>11/03/2004</t>
  </si>
  <si>
    <t>22T1020281</t>
  </si>
  <si>
    <t>Đậu Thiện</t>
  </si>
  <si>
    <t>Nhật</t>
  </si>
  <si>
    <t>16/06/2004</t>
  </si>
  <si>
    <t>22T1020693</t>
  </si>
  <si>
    <t>Đặng Thị Tâm</t>
  </si>
  <si>
    <t>Nhi</t>
  </si>
  <si>
    <t>11/08/2004</t>
  </si>
  <si>
    <t>22T1020298</t>
  </si>
  <si>
    <t>Zơrâm</t>
  </si>
  <si>
    <t>Nhỏ</t>
  </si>
  <si>
    <t>12/07/1997</t>
  </si>
  <si>
    <t>22T1020299</t>
  </si>
  <si>
    <t>Lương Thanh Ngọc</t>
  </si>
  <si>
    <t>Như</t>
  </si>
  <si>
    <t>05/02/2004</t>
  </si>
  <si>
    <t>22T1020313</t>
  </si>
  <si>
    <t>Nguyễn Văn</t>
  </si>
  <si>
    <t>Phong</t>
  </si>
  <si>
    <t>30/05/2004</t>
  </si>
  <si>
    <t>22T1020327</t>
  </si>
  <si>
    <t>Nguyễn Tống Bảo</t>
  </si>
  <si>
    <t>Phúc</t>
  </si>
  <si>
    <t>28/10/2004</t>
  </si>
  <si>
    <t>22T1020330</t>
  </si>
  <si>
    <t>Lê Tăng</t>
  </si>
  <si>
    <t>Phước</t>
  </si>
  <si>
    <t>25/11/2004</t>
  </si>
  <si>
    <t>22T1020366</t>
  </si>
  <si>
    <t>Nguyễn Văn Nhật</t>
  </si>
  <si>
    <t>Quang</t>
  </si>
  <si>
    <t>13/01/2004</t>
  </si>
  <si>
    <t>22T1020354</t>
  </si>
  <si>
    <t>Hoàng Anh</t>
  </si>
  <si>
    <t>Quân</t>
  </si>
  <si>
    <t>22T1020720</t>
  </si>
  <si>
    <t>Bùi Quang</t>
  </si>
  <si>
    <t>Quý</t>
  </si>
  <si>
    <t>03/11/2004</t>
  </si>
  <si>
    <t>22T1020729</t>
  </si>
  <si>
    <t>Huỳnh Tấn</t>
  </si>
  <si>
    <t>Sang</t>
  </si>
  <si>
    <t>02/02/2004</t>
  </si>
  <si>
    <t>22T1020410</t>
  </si>
  <si>
    <t>Tân</t>
  </si>
  <si>
    <t>01/01/2004</t>
  </si>
  <si>
    <t>22T1020746</t>
  </si>
  <si>
    <t>Thành</t>
  </si>
  <si>
    <t>02/01/2004</t>
  </si>
  <si>
    <t>22T1020758</t>
  </si>
  <si>
    <t>Huỳnh Thị</t>
  </si>
  <si>
    <t>Thủy</t>
  </si>
  <si>
    <t>07/11/2004</t>
  </si>
  <si>
    <t>21T1020733</t>
  </si>
  <si>
    <t>Lê Khắc</t>
  </si>
  <si>
    <t>Thức</t>
  </si>
  <si>
    <t>14/11/2003</t>
  </si>
  <si>
    <t>22T1020761</t>
  </si>
  <si>
    <t>Nguyễn Huỳnh Minh</t>
  </si>
  <si>
    <t>Tiến</t>
  </si>
  <si>
    <t>27/11/2004</t>
  </si>
  <si>
    <t>22T1020767</t>
  </si>
  <si>
    <t>Hồ Bảo</t>
  </si>
  <si>
    <t>Toàn</t>
  </si>
  <si>
    <t>26/02/2004</t>
  </si>
  <si>
    <t>22T1020475</t>
  </si>
  <si>
    <t>Nguyễn Thị Huyền</t>
  </si>
  <si>
    <t>Trân</t>
  </si>
  <si>
    <t>24/10/2004</t>
  </si>
  <si>
    <t>22T1020484</t>
  </si>
  <si>
    <t>Đặng Hữu</t>
  </si>
  <si>
    <t>Trung</t>
  </si>
  <si>
    <t>14/04/2004</t>
  </si>
  <si>
    <t>22T1020486</t>
  </si>
  <si>
    <t>Đinh Hoàng</t>
  </si>
  <si>
    <t>21/10/2004</t>
  </si>
  <si>
    <t>22T1020494</t>
  </si>
  <si>
    <t>Nguyễn Đình</t>
  </si>
  <si>
    <t>Tuấn</t>
  </si>
  <si>
    <t>29/09/2003</t>
  </si>
  <si>
    <t>22T1020497</t>
  </si>
  <si>
    <t>Nguyễn Phú</t>
  </si>
  <si>
    <t>17/08/2004</t>
  </si>
  <si>
    <t>22T1020499</t>
  </si>
  <si>
    <t>Phạm Anh</t>
  </si>
  <si>
    <t>21/05/2004</t>
  </si>
  <si>
    <t>22T1020517</t>
  </si>
  <si>
    <t>Phan Văn</t>
  </si>
  <si>
    <t>Việt</t>
  </si>
  <si>
    <t>20/07/2004</t>
  </si>
  <si>
    <t>22T1020534</t>
  </si>
  <si>
    <t>Ý</t>
  </si>
  <si>
    <t>28/03/2004</t>
  </si>
  <si>
    <t>doanhnt_k46</t>
  </si>
  <si>
    <t>huycvt_k46</t>
  </si>
  <si>
    <t>khangntt_k46</t>
  </si>
  <si>
    <t>linhltt_k46</t>
  </si>
  <si>
    <t>lyltk_k46</t>
  </si>
  <si>
    <t>lyntc_k46</t>
  </si>
  <si>
    <t>minhhv_k45</t>
  </si>
  <si>
    <t>minhln_k46</t>
  </si>
  <si>
    <t>minhlv_k46</t>
  </si>
  <si>
    <t>phongnv_k46</t>
  </si>
  <si>
    <t>quangnvn_k46</t>
  </si>
  <si>
    <t>sanght_k46</t>
  </si>
  <si>
    <t>toànhb_k46</t>
  </si>
  <si>
    <t>bachtt_k46</t>
  </si>
  <si>
    <t>bangnk_k46</t>
  </si>
  <si>
    <t>baopvt_k46</t>
  </si>
  <si>
    <t>bachx_k46</t>
  </si>
  <si>
    <t>binhhtt_k46</t>
  </si>
  <si>
    <t>dienhv_k46</t>
  </si>
  <si>
    <t>duongdtt_k46</t>
  </si>
  <si>
    <t>datnh_k46</t>
  </si>
  <si>
    <t>datnt_k46</t>
  </si>
  <si>
    <t>datnvt_k46</t>
  </si>
  <si>
    <t>haocv_k46</t>
  </si>
  <si>
    <t>hieubk_k46</t>
  </si>
  <si>
    <t>hieutdm_k46</t>
  </si>
  <si>
    <t>hoangln_k46</t>
  </si>
  <si>
    <t>hoanv_k46</t>
  </si>
  <si>
    <t>hungvlt_k46</t>
  </si>
  <si>
    <t>khanhdd_k46</t>
  </si>
  <si>
    <t>khanhnh_k46</t>
  </si>
  <si>
    <t>khoind_k46</t>
  </si>
  <si>
    <t>kyc_k46</t>
  </si>
  <si>
    <t>luch_k45</t>
  </si>
  <si>
    <t>manhdt_k46</t>
  </si>
  <si>
    <t>mayntn_k46</t>
  </si>
  <si>
    <t>ngocth_k46</t>
  </si>
  <si>
    <t>nguyennv_k46</t>
  </si>
  <si>
    <t>nhannc_k46</t>
  </si>
  <si>
    <t>nhatdt_k46</t>
  </si>
  <si>
    <t>nhidtt_k46</t>
  </si>
  <si>
    <t>nhoz_k46</t>
  </si>
  <si>
    <t>nhultn_k46</t>
  </si>
  <si>
    <t>phucntb_k46</t>
  </si>
  <si>
    <t>phuoclt_k46</t>
  </si>
  <si>
    <t>quanha_k46</t>
  </si>
  <si>
    <t>quybq_k46</t>
  </si>
  <si>
    <t>tannvn_k46</t>
  </si>
  <si>
    <t>thanhnc_k46</t>
  </si>
  <si>
    <t>thuyht_k46</t>
  </si>
  <si>
    <t>thuclk_k45</t>
  </si>
  <si>
    <t>tiennhm_k46</t>
  </si>
  <si>
    <t>trannth_k46</t>
  </si>
  <si>
    <t>trungdh_k46</t>
  </si>
  <si>
    <t>tuannd_k46</t>
  </si>
  <si>
    <t>tuannp_k46</t>
  </si>
  <si>
    <t>tuanpa_k46</t>
  </si>
  <si>
    <t>vietpv_k46</t>
  </si>
  <si>
    <t>yntn_k46</t>
  </si>
  <si>
    <t>trungdh</t>
  </si>
  <si>
    <t>username</t>
  </si>
  <si>
    <t>password</t>
  </si>
  <si>
    <t>fullname</t>
  </si>
  <si>
    <t>020543</t>
  </si>
  <si>
    <t>Tôn Thất Bách</t>
  </si>
  <si>
    <t>020022</t>
  </si>
  <si>
    <t>Nguyễn Kim Bảng</t>
  </si>
  <si>
    <t>020023</t>
  </si>
  <si>
    <t>Phan Văn Tôn Bảo</t>
  </si>
  <si>
    <t>020541</t>
  </si>
  <si>
    <t>Hồ Xuân Bắc</t>
  </si>
  <si>
    <t>020031</t>
  </si>
  <si>
    <t>Hồ Thị Thanh Bình</t>
  </si>
  <si>
    <t>020067</t>
  </si>
  <si>
    <t>Hồ Văn Diễn</t>
  </si>
  <si>
    <t>020071</t>
  </si>
  <si>
    <t>Nguyễn Thành Doanh</t>
  </si>
  <si>
    <t>020579</t>
  </si>
  <si>
    <t>Đào Thị Thùy Dương</t>
  </si>
  <si>
    <t>020056</t>
  </si>
  <si>
    <t>Nguyễn Hữu Đạt</t>
  </si>
  <si>
    <t>020569</t>
  </si>
  <si>
    <t>Nguyễn Thành Đạt</t>
  </si>
  <si>
    <t>020564</t>
  </si>
  <si>
    <t>Nguyễn Văn Tiến Đạt</t>
  </si>
  <si>
    <t>020106</t>
  </si>
  <si>
    <t>Châu Văn Hảo</t>
  </si>
  <si>
    <t>020604</t>
  </si>
  <si>
    <t>Bùi Khắc Hiếu</t>
  </si>
  <si>
    <t>020116</t>
  </si>
  <si>
    <t>Trương Đình Minh Hiếu</t>
  </si>
  <si>
    <t>020131</t>
  </si>
  <si>
    <t>Lê Nhữ Hoàng</t>
  </si>
  <si>
    <t>020122</t>
  </si>
  <si>
    <t>Nguyễn Việt Hòa</t>
  </si>
  <si>
    <t>020156</t>
  </si>
  <si>
    <t>Châu Văn Trường Huy</t>
  </si>
  <si>
    <t>020147</t>
  </si>
  <si>
    <t>Võ Lê Tuấn Hưng</t>
  </si>
  <si>
    <t>020635</t>
  </si>
  <si>
    <t>Ngô Trần Thuận Khang</t>
  </si>
  <si>
    <t>020171</t>
  </si>
  <si>
    <t>Đào Duy Khánh</t>
  </si>
  <si>
    <t>020174</t>
  </si>
  <si>
    <t>Nguyễn Hữu Khánh</t>
  </si>
  <si>
    <t>020641</t>
  </si>
  <si>
    <t>Nguyễn Đăng Khôi</t>
  </si>
  <si>
    <t>020189</t>
  </si>
  <si>
    <t>Châu Kỳ</t>
  </si>
  <si>
    <t>020200</t>
  </si>
  <si>
    <t>Lê Thị Thùy Linh</t>
  </si>
  <si>
    <t>020499</t>
  </si>
  <si>
    <t>Hoàng Lực</t>
  </si>
  <si>
    <t>020661</t>
  </si>
  <si>
    <t>Lê Thị Khánh Ly</t>
  </si>
  <si>
    <t>020662</t>
  </si>
  <si>
    <t>Ngô Thị Cẩm Ly</t>
  </si>
  <si>
    <t>020665</t>
  </si>
  <si>
    <t>Đỗ Tiến Mạnh</t>
  </si>
  <si>
    <t>020666</t>
  </si>
  <si>
    <t>Nguyễn Thị Ngọc Mây</t>
  </si>
  <si>
    <t>080070</t>
  </si>
  <si>
    <t>Huỳnh Văn Minh</t>
  </si>
  <si>
    <t>020232</t>
  </si>
  <si>
    <t>Lê Ngọc Minh</t>
  </si>
  <si>
    <t>020239</t>
  </si>
  <si>
    <t>Lê Văn Minh</t>
  </si>
  <si>
    <t>020261</t>
  </si>
  <si>
    <t>Trương Hữu Ngọc</t>
  </si>
  <si>
    <t>020685</t>
  </si>
  <si>
    <t>Nguyễn Vỹ Nguyên</t>
  </si>
  <si>
    <t>020688</t>
  </si>
  <si>
    <t>Nguyễn Công Nhân</t>
  </si>
  <si>
    <t>020281</t>
  </si>
  <si>
    <t>Đậu Thiện Nhật</t>
  </si>
  <si>
    <t>020693</t>
  </si>
  <si>
    <t>Đặng Thị Tâm Nhi</t>
  </si>
  <si>
    <t>020298</t>
  </si>
  <si>
    <t>Zơrâm Nhỏ</t>
  </si>
  <si>
    <t>020299</t>
  </si>
  <si>
    <t>Lương Thanh Ngọc Như</t>
  </si>
  <si>
    <t>020313</t>
  </si>
  <si>
    <t>Nguyễn Văn Phong</t>
  </si>
  <si>
    <t>020327</t>
  </si>
  <si>
    <t>Nguyễn Tống Bảo Phúc</t>
  </si>
  <si>
    <t>020330</t>
  </si>
  <si>
    <t>Lê Tăng Phước</t>
  </si>
  <si>
    <t>020366</t>
  </si>
  <si>
    <t>Nguyễn Văn Nhật Quang</t>
  </si>
  <si>
    <t>020354</t>
  </si>
  <si>
    <t>Hoàng Anh Quân</t>
  </si>
  <si>
    <t>020720</t>
  </si>
  <si>
    <t>Bùi Quang Quý</t>
  </si>
  <si>
    <t>020729</t>
  </si>
  <si>
    <t>Huỳnh Tấn Sang</t>
  </si>
  <si>
    <t>020410</t>
  </si>
  <si>
    <t>Nguyễn Văn Nhật Tân</t>
  </si>
  <si>
    <t>020746</t>
  </si>
  <si>
    <t>Nguyễn Công Thành</t>
  </si>
  <si>
    <t>020758</t>
  </si>
  <si>
    <t>Huỳnh Thị Thủy</t>
  </si>
  <si>
    <t>020733</t>
  </si>
  <si>
    <t>Lê Khắc Thức</t>
  </si>
  <si>
    <t>020761</t>
  </si>
  <si>
    <t>Nguyễn Huỳnh Minh Tiến</t>
  </si>
  <si>
    <t>020767</t>
  </si>
  <si>
    <t>Hồ Bảo Toàn</t>
  </si>
  <si>
    <t>020475</t>
  </si>
  <si>
    <t>Nguyễn Thị Huyền Trân</t>
  </si>
  <si>
    <t>020484</t>
  </si>
  <si>
    <t>Đặng Hữu Trung</t>
  </si>
  <si>
    <t>020486</t>
  </si>
  <si>
    <t>Đinh Hoàng Trung</t>
  </si>
  <si>
    <t>020494</t>
  </si>
  <si>
    <t>Nguyễn Đình Tuấn</t>
  </si>
  <si>
    <t>020497</t>
  </si>
  <si>
    <t>Nguyễn Phú Tuấn</t>
  </si>
  <si>
    <t>Phạm Anh Tuấn</t>
  </si>
  <si>
    <t>020517</t>
  </si>
  <si>
    <t>Phan Văn Việt</t>
  </si>
  <si>
    <t>020534</t>
  </si>
  <si>
    <t>Nguyễn Thị Ngọc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</si>
</sst>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61" totalsRowShown="0">
  <autoFilter ref="A1:F61"/>
  <tableColumns count="6">
    <tableColumn id="1" name="STT"/>
    <tableColumn id="2" name="Mã sinh viên"/>
    <tableColumn id="3" name="Họ"/>
    <tableColumn id="4" name="Tên"/>
    <tableColumn id="5" name="Ngày sinh"/>
    <tableColumn id="6" name="Khóa họ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workbookViewId="0">
      <selection activeCell="T2" sqref="T2:T61"/>
    </sheetView>
  </sheetViews>
  <sheetFormatPr defaultRowHeight="14.5" x14ac:dyDescent="0.35"/>
  <cols>
    <col min="1" max="1" width="4.81640625" customWidth="1"/>
    <col min="2" max="2" width="12.7265625" customWidth="1"/>
    <col min="3" max="3" width="19.26953125" customWidth="1"/>
    <col min="4" max="4" width="7.453125" customWidth="1"/>
    <col min="5" max="5" width="12" customWidth="1"/>
    <col min="6" max="6" width="9.7265625" customWidth="1"/>
    <col min="7" max="7" width="9.453125" customWidth="1"/>
    <col min="8" max="8" width="5.81640625" customWidth="1"/>
    <col min="9" max="9" width="8.453125" customWidth="1"/>
    <col min="10" max="10" width="9" customWidth="1"/>
    <col min="11" max="15" width="10" customWidth="1"/>
    <col min="16" max="16" width="11.54296875" customWidth="1"/>
    <col min="17" max="17" width="8.26953125" customWidth="1"/>
    <col min="18" max="18" width="12.453125" customWidth="1"/>
    <col min="19" max="19" width="12.81640625" customWidth="1"/>
    <col min="21" max="21" width="23.7265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2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>
        <v>0</v>
      </c>
      <c r="I2">
        <f>IFERROR(SEARCH(" ",$C2,H2+1),LEN($C2))</f>
        <v>4</v>
      </c>
      <c r="J2">
        <f>IFERROR(SEARCH(" ",$C2,I2+1),LEN($C2))</f>
        <v>8</v>
      </c>
      <c r="K2">
        <f>IFERROR(SEARCH(" ",$C2,J2+1),LEN($C2))</f>
        <v>8</v>
      </c>
      <c r="L2">
        <f>IFERROR(SEARCH(" ",$C2,K2+1),LEN($C2))</f>
        <v>8</v>
      </c>
      <c r="M2" t="str">
        <f>MID($C2,H2+1,1)</f>
        <v>T</v>
      </c>
      <c r="N2" t="str">
        <f>MID($C2,I2+1,1)</f>
        <v>T</v>
      </c>
      <c r="O2" t="str">
        <f>MID($C2,J2+1,1)</f>
        <v/>
      </c>
      <c r="P2" t="str">
        <f>MID($C2,K2+1,1)</f>
        <v/>
      </c>
      <c r="Q2" t="str">
        <f>CONCATENATE(M2,N2,O2,P2)</f>
        <v>TT</v>
      </c>
      <c r="R2" t="str">
        <f>LOWER(D2&amp;Q2&amp;"_"&amp;F2)</f>
        <v>báchtt_k46</v>
      </c>
      <c r="S2" t="s">
        <v>244</v>
      </c>
      <c r="T2" t="str">
        <f>RIGHT(B2,6)</f>
        <v>020543</v>
      </c>
      <c r="U2" t="str">
        <f>CONCATENATE(C2," ",D2)</f>
        <v>Tôn Thất Bách</v>
      </c>
      <c r="V2">
        <f>COUNTIF($S$2:$S$61,S2)</f>
        <v>1</v>
      </c>
    </row>
    <row r="3" spans="1:22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  <c r="H3">
        <v>0</v>
      </c>
      <c r="I3">
        <f t="shared" ref="I3:L61" si="0">IFERROR(SEARCH(" ",$C3,H3+1),LEN($C3))</f>
        <v>7</v>
      </c>
      <c r="J3">
        <f t="shared" si="0"/>
        <v>10</v>
      </c>
      <c r="K3">
        <f t="shared" si="0"/>
        <v>10</v>
      </c>
      <c r="L3">
        <f t="shared" si="0"/>
        <v>10</v>
      </c>
      <c r="M3" t="str">
        <f t="shared" ref="M3:M61" si="1">MID($C3,H3+1,1)</f>
        <v>N</v>
      </c>
      <c r="N3" t="str">
        <f t="shared" ref="N3:N61" si="2">MID($C3,I3+1,1)</f>
        <v>K</v>
      </c>
      <c r="O3" t="str">
        <f t="shared" ref="O3:O61" si="3">MID($C3,J3+1,1)</f>
        <v/>
      </c>
      <c r="P3" t="str">
        <f t="shared" ref="P3:P61" si="4">MID($C3,K3+1,1)</f>
        <v/>
      </c>
      <c r="Q3" t="str">
        <f t="shared" ref="Q3:Q61" si="5">CONCATENATE(M3,N3,O3,P3)</f>
        <v>NK</v>
      </c>
      <c r="R3" t="str">
        <f t="shared" ref="R3:R61" si="6">LOWER(D3&amp;Q3&amp;"_"&amp;F3)</f>
        <v>bảngnk_k46</v>
      </c>
      <c r="S3" t="s">
        <v>245</v>
      </c>
      <c r="T3" t="str">
        <f t="shared" ref="T3:T61" si="7">RIGHT(B3,6)</f>
        <v>020022</v>
      </c>
      <c r="U3" t="str">
        <f t="shared" ref="U3:U61" si="8">CONCATENATE(C3," ",D3)</f>
        <v>Nguyễn Kim Bảng</v>
      </c>
      <c r="V3">
        <f t="shared" ref="V3:V61" si="9">COUNTIF($S$2:$S$61,S3)</f>
        <v>1</v>
      </c>
    </row>
    <row r="4" spans="1:22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  <c r="H4">
        <v>0</v>
      </c>
      <c r="I4">
        <f t="shared" si="0"/>
        <v>5</v>
      </c>
      <c r="J4">
        <f t="shared" si="0"/>
        <v>9</v>
      </c>
      <c r="K4">
        <f t="shared" si="0"/>
        <v>12</v>
      </c>
      <c r="L4">
        <f t="shared" si="0"/>
        <v>12</v>
      </c>
      <c r="M4" t="str">
        <f t="shared" si="1"/>
        <v>P</v>
      </c>
      <c r="N4" t="str">
        <f t="shared" si="2"/>
        <v>V</v>
      </c>
      <c r="O4" t="str">
        <f t="shared" si="3"/>
        <v>T</v>
      </c>
      <c r="P4" t="str">
        <f t="shared" si="4"/>
        <v/>
      </c>
      <c r="Q4" t="str">
        <f t="shared" si="5"/>
        <v>PVT</v>
      </c>
      <c r="R4" t="str">
        <f t="shared" si="6"/>
        <v>bảopvt_k46</v>
      </c>
      <c r="S4" t="s">
        <v>246</v>
      </c>
      <c r="T4" t="str">
        <f t="shared" si="7"/>
        <v>020023</v>
      </c>
      <c r="U4" t="str">
        <f t="shared" si="8"/>
        <v>Phan Văn Tôn Bảo</v>
      </c>
      <c r="V4">
        <f t="shared" si="9"/>
        <v>1</v>
      </c>
    </row>
    <row r="5" spans="1:22" x14ac:dyDescent="0.3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  <c r="H5">
        <v>0</v>
      </c>
      <c r="I5">
        <f t="shared" si="0"/>
        <v>3</v>
      </c>
      <c r="J5">
        <f t="shared" si="0"/>
        <v>7</v>
      </c>
      <c r="K5">
        <f t="shared" si="0"/>
        <v>7</v>
      </c>
      <c r="L5">
        <f t="shared" si="0"/>
        <v>7</v>
      </c>
      <c r="M5" t="str">
        <f t="shared" si="1"/>
        <v>H</v>
      </c>
      <c r="N5" t="str">
        <f t="shared" si="2"/>
        <v>X</v>
      </c>
      <c r="O5" t="str">
        <f t="shared" si="3"/>
        <v/>
      </c>
      <c r="P5" t="str">
        <f t="shared" si="4"/>
        <v/>
      </c>
      <c r="Q5" t="str">
        <f t="shared" si="5"/>
        <v>HX</v>
      </c>
      <c r="R5" t="str">
        <f t="shared" si="6"/>
        <v>bắchx_k46</v>
      </c>
      <c r="S5" t="s">
        <v>247</v>
      </c>
      <c r="T5" t="str">
        <f t="shared" si="7"/>
        <v>020541</v>
      </c>
      <c r="U5" t="str">
        <f t="shared" si="8"/>
        <v>Hồ Xuân Bắc</v>
      </c>
      <c r="V5">
        <f t="shared" si="9"/>
        <v>1</v>
      </c>
    </row>
    <row r="6" spans="1:22" x14ac:dyDescent="0.3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10</v>
      </c>
      <c r="H6">
        <v>0</v>
      </c>
      <c r="I6">
        <f t="shared" si="0"/>
        <v>3</v>
      </c>
      <c r="J6">
        <f t="shared" si="0"/>
        <v>7</v>
      </c>
      <c r="K6">
        <f t="shared" si="0"/>
        <v>12</v>
      </c>
      <c r="L6">
        <f t="shared" si="0"/>
        <v>12</v>
      </c>
      <c r="M6" t="str">
        <f t="shared" si="1"/>
        <v>H</v>
      </c>
      <c r="N6" t="str">
        <f t="shared" si="2"/>
        <v>T</v>
      </c>
      <c r="O6" t="str">
        <f t="shared" si="3"/>
        <v>T</v>
      </c>
      <c r="P6" t="str">
        <f t="shared" si="4"/>
        <v/>
      </c>
      <c r="Q6" t="str">
        <f t="shared" si="5"/>
        <v>HTT</v>
      </c>
      <c r="R6" t="str">
        <f t="shared" si="6"/>
        <v>bìnhhtt_k46</v>
      </c>
      <c r="S6" t="s">
        <v>248</v>
      </c>
      <c r="T6" t="str">
        <f t="shared" si="7"/>
        <v>020031</v>
      </c>
      <c r="U6" t="str">
        <f t="shared" si="8"/>
        <v>Hồ Thị Thanh Bình</v>
      </c>
      <c r="V6">
        <f t="shared" si="9"/>
        <v>1</v>
      </c>
    </row>
    <row r="7" spans="1:22" x14ac:dyDescent="0.35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  <c r="H7">
        <v>0</v>
      </c>
      <c r="I7">
        <f t="shared" si="0"/>
        <v>3</v>
      </c>
      <c r="J7">
        <f t="shared" si="0"/>
        <v>6</v>
      </c>
      <c r="K7">
        <f t="shared" si="0"/>
        <v>6</v>
      </c>
      <c r="L7">
        <f t="shared" si="0"/>
        <v>6</v>
      </c>
      <c r="M7" t="str">
        <f t="shared" si="1"/>
        <v>H</v>
      </c>
      <c r="N7" t="str">
        <f t="shared" si="2"/>
        <v>V</v>
      </c>
      <c r="O7" t="str">
        <f t="shared" si="3"/>
        <v/>
      </c>
      <c r="P7" t="str">
        <f t="shared" si="4"/>
        <v/>
      </c>
      <c r="Q7" t="str">
        <f t="shared" si="5"/>
        <v>HV</v>
      </c>
      <c r="R7" t="str">
        <f t="shared" si="6"/>
        <v>diễnhv_k46</v>
      </c>
      <c r="S7" t="s">
        <v>249</v>
      </c>
      <c r="T7" t="str">
        <f t="shared" si="7"/>
        <v>020067</v>
      </c>
      <c r="U7" t="str">
        <f t="shared" si="8"/>
        <v>Hồ Văn Diễn</v>
      </c>
      <c r="V7">
        <f t="shared" si="9"/>
        <v>1</v>
      </c>
    </row>
    <row r="8" spans="1:22" x14ac:dyDescent="0.3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10</v>
      </c>
      <c r="H8">
        <v>0</v>
      </c>
      <c r="I8">
        <f t="shared" si="0"/>
        <v>7</v>
      </c>
      <c r="J8">
        <f t="shared" si="0"/>
        <v>12</v>
      </c>
      <c r="K8">
        <f t="shared" si="0"/>
        <v>12</v>
      </c>
      <c r="L8">
        <f t="shared" si="0"/>
        <v>12</v>
      </c>
      <c r="M8" t="str">
        <f t="shared" si="1"/>
        <v>N</v>
      </c>
      <c r="N8" t="str">
        <f t="shared" si="2"/>
        <v>T</v>
      </c>
      <c r="O8" t="str">
        <f t="shared" si="3"/>
        <v/>
      </c>
      <c r="P8" t="str">
        <f t="shared" si="4"/>
        <v/>
      </c>
      <c r="Q8" t="str">
        <f t="shared" si="5"/>
        <v>NT</v>
      </c>
      <c r="R8" t="str">
        <f t="shared" si="6"/>
        <v>doanhnt_k46</v>
      </c>
      <c r="S8" t="s">
        <v>231</v>
      </c>
      <c r="T8" t="str">
        <f t="shared" si="7"/>
        <v>020071</v>
      </c>
      <c r="U8" t="str">
        <f t="shared" si="8"/>
        <v>Nguyễn Thành Doanh</v>
      </c>
      <c r="V8">
        <f t="shared" si="9"/>
        <v>1</v>
      </c>
    </row>
    <row r="9" spans="1:22" x14ac:dyDescent="0.35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  <c r="H9">
        <v>0</v>
      </c>
      <c r="I9">
        <f t="shared" si="0"/>
        <v>4</v>
      </c>
      <c r="J9">
        <f t="shared" si="0"/>
        <v>8</v>
      </c>
      <c r="K9">
        <f t="shared" si="0"/>
        <v>12</v>
      </c>
      <c r="L9">
        <f t="shared" si="0"/>
        <v>12</v>
      </c>
      <c r="M9" t="str">
        <f t="shared" si="1"/>
        <v>Đ</v>
      </c>
      <c r="N9" t="str">
        <f t="shared" si="2"/>
        <v>T</v>
      </c>
      <c r="O9" t="str">
        <f t="shared" si="3"/>
        <v>T</v>
      </c>
      <c r="P9" t="str">
        <f t="shared" si="4"/>
        <v/>
      </c>
      <c r="Q9" t="str">
        <f t="shared" si="5"/>
        <v>ĐTT</v>
      </c>
      <c r="R9" t="str">
        <f t="shared" si="6"/>
        <v>dươngđtt_k46</v>
      </c>
      <c r="S9" t="s">
        <v>250</v>
      </c>
      <c r="T9" t="str">
        <f t="shared" si="7"/>
        <v>020579</v>
      </c>
      <c r="U9" t="str">
        <f t="shared" si="8"/>
        <v>Đào Thị Thùy Dương</v>
      </c>
      <c r="V9">
        <f t="shared" si="9"/>
        <v>1</v>
      </c>
    </row>
    <row r="10" spans="1:22" x14ac:dyDescent="0.3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10</v>
      </c>
      <c r="H10">
        <v>0</v>
      </c>
      <c r="I10">
        <f t="shared" si="0"/>
        <v>7</v>
      </c>
      <c r="J10">
        <f t="shared" si="0"/>
        <v>10</v>
      </c>
      <c r="K10">
        <f t="shared" si="0"/>
        <v>10</v>
      </c>
      <c r="L10">
        <f t="shared" si="0"/>
        <v>10</v>
      </c>
      <c r="M10" t="str">
        <f t="shared" si="1"/>
        <v>N</v>
      </c>
      <c r="N10" t="str">
        <f t="shared" si="2"/>
        <v>H</v>
      </c>
      <c r="O10" t="str">
        <f t="shared" si="3"/>
        <v/>
      </c>
      <c r="P10" t="str">
        <f t="shared" si="4"/>
        <v/>
      </c>
      <c r="Q10" t="str">
        <f t="shared" si="5"/>
        <v>NH</v>
      </c>
      <c r="R10" t="str">
        <f t="shared" si="6"/>
        <v>đạtnh_k46</v>
      </c>
      <c r="S10" t="s">
        <v>251</v>
      </c>
      <c r="T10" t="str">
        <f t="shared" si="7"/>
        <v>020056</v>
      </c>
      <c r="U10" t="str">
        <f t="shared" si="8"/>
        <v>Nguyễn Hữu Đạt</v>
      </c>
      <c r="V10">
        <f t="shared" si="9"/>
        <v>1</v>
      </c>
    </row>
    <row r="11" spans="1:22" x14ac:dyDescent="0.35">
      <c r="A11">
        <v>10</v>
      </c>
      <c r="B11" t="s">
        <v>43</v>
      </c>
      <c r="C11" t="s">
        <v>32</v>
      </c>
      <c r="D11" t="s">
        <v>41</v>
      </c>
      <c r="E11" t="s">
        <v>44</v>
      </c>
      <c r="F11" t="s">
        <v>10</v>
      </c>
      <c r="H11">
        <v>0</v>
      </c>
      <c r="I11">
        <f t="shared" si="0"/>
        <v>7</v>
      </c>
      <c r="J11">
        <f t="shared" si="0"/>
        <v>12</v>
      </c>
      <c r="K11">
        <f t="shared" si="0"/>
        <v>12</v>
      </c>
      <c r="L11">
        <f t="shared" si="0"/>
        <v>12</v>
      </c>
      <c r="M11" t="str">
        <f t="shared" si="1"/>
        <v>N</v>
      </c>
      <c r="N11" t="str">
        <f t="shared" si="2"/>
        <v>T</v>
      </c>
      <c r="O11" t="str">
        <f t="shared" si="3"/>
        <v/>
      </c>
      <c r="P11" t="str">
        <f t="shared" si="4"/>
        <v/>
      </c>
      <c r="Q11" t="str">
        <f t="shared" si="5"/>
        <v>NT</v>
      </c>
      <c r="R11" t="str">
        <f t="shared" si="6"/>
        <v>đạtnt_k46</v>
      </c>
      <c r="S11" t="s">
        <v>252</v>
      </c>
      <c r="T11" t="str">
        <f t="shared" si="7"/>
        <v>020569</v>
      </c>
      <c r="U11" t="str">
        <f t="shared" si="8"/>
        <v>Nguyễn Thành Đạt</v>
      </c>
      <c r="V11">
        <f t="shared" si="9"/>
        <v>1</v>
      </c>
    </row>
    <row r="12" spans="1:22" x14ac:dyDescent="0.35">
      <c r="A12">
        <v>11</v>
      </c>
      <c r="B12" t="s">
        <v>45</v>
      </c>
      <c r="C12" t="s">
        <v>46</v>
      </c>
      <c r="D12" t="s">
        <v>41</v>
      </c>
      <c r="E12" t="s">
        <v>47</v>
      </c>
      <c r="F12" t="s">
        <v>10</v>
      </c>
      <c r="H12">
        <v>0</v>
      </c>
      <c r="I12">
        <f t="shared" si="0"/>
        <v>7</v>
      </c>
      <c r="J12">
        <f t="shared" si="0"/>
        <v>11</v>
      </c>
      <c r="K12">
        <f t="shared" si="0"/>
        <v>15</v>
      </c>
      <c r="L12">
        <f t="shared" si="0"/>
        <v>15</v>
      </c>
      <c r="M12" t="str">
        <f t="shared" si="1"/>
        <v>N</v>
      </c>
      <c r="N12" t="str">
        <f t="shared" si="2"/>
        <v>V</v>
      </c>
      <c r="O12" t="str">
        <f t="shared" si="3"/>
        <v>T</v>
      </c>
      <c r="P12" t="str">
        <f t="shared" si="4"/>
        <v/>
      </c>
      <c r="Q12" t="str">
        <f t="shared" si="5"/>
        <v>NVT</v>
      </c>
      <c r="R12" t="str">
        <f t="shared" si="6"/>
        <v>đạtnvt_k46</v>
      </c>
      <c r="S12" t="s">
        <v>253</v>
      </c>
      <c r="T12" t="str">
        <f t="shared" si="7"/>
        <v>020564</v>
      </c>
      <c r="U12" t="str">
        <f t="shared" si="8"/>
        <v>Nguyễn Văn Tiến Đạt</v>
      </c>
      <c r="V12">
        <f t="shared" si="9"/>
        <v>1</v>
      </c>
    </row>
    <row r="13" spans="1:22" x14ac:dyDescent="0.35">
      <c r="A13">
        <v>12</v>
      </c>
      <c r="B13" t="s">
        <v>48</v>
      </c>
      <c r="C13" t="s">
        <v>49</v>
      </c>
      <c r="D13" t="s">
        <v>50</v>
      </c>
      <c r="E13" t="s">
        <v>51</v>
      </c>
      <c r="F13" t="s">
        <v>10</v>
      </c>
      <c r="H13">
        <v>0</v>
      </c>
      <c r="I13">
        <f t="shared" si="0"/>
        <v>5</v>
      </c>
      <c r="J13">
        <f t="shared" si="0"/>
        <v>8</v>
      </c>
      <c r="K13">
        <f t="shared" si="0"/>
        <v>8</v>
      </c>
      <c r="L13">
        <f t="shared" si="0"/>
        <v>8</v>
      </c>
      <c r="M13" t="str">
        <f t="shared" si="1"/>
        <v>C</v>
      </c>
      <c r="N13" t="str">
        <f t="shared" si="2"/>
        <v>V</v>
      </c>
      <c r="O13" t="str">
        <f t="shared" si="3"/>
        <v/>
      </c>
      <c r="P13" t="str">
        <f t="shared" si="4"/>
        <v/>
      </c>
      <c r="Q13" t="str">
        <f t="shared" si="5"/>
        <v>CV</v>
      </c>
      <c r="R13" t="str">
        <f t="shared" si="6"/>
        <v>hảocv_k46</v>
      </c>
      <c r="S13" t="s">
        <v>254</v>
      </c>
      <c r="T13" t="str">
        <f t="shared" si="7"/>
        <v>020106</v>
      </c>
      <c r="U13" t="str">
        <f t="shared" si="8"/>
        <v>Châu Văn Hảo</v>
      </c>
      <c r="V13">
        <f t="shared" si="9"/>
        <v>1</v>
      </c>
    </row>
    <row r="14" spans="1:22" x14ac:dyDescent="0.35">
      <c r="A14">
        <v>13</v>
      </c>
      <c r="B14" t="s">
        <v>52</v>
      </c>
      <c r="C14" t="s">
        <v>53</v>
      </c>
      <c r="D14" t="s">
        <v>54</v>
      </c>
      <c r="E14" t="s">
        <v>55</v>
      </c>
      <c r="F14" t="s">
        <v>10</v>
      </c>
      <c r="H14">
        <v>0</v>
      </c>
      <c r="I14">
        <f t="shared" si="0"/>
        <v>4</v>
      </c>
      <c r="J14">
        <f t="shared" si="0"/>
        <v>8</v>
      </c>
      <c r="K14">
        <f t="shared" si="0"/>
        <v>8</v>
      </c>
      <c r="L14">
        <f t="shared" si="0"/>
        <v>8</v>
      </c>
      <c r="M14" t="str">
        <f t="shared" si="1"/>
        <v>B</v>
      </c>
      <c r="N14" t="str">
        <f t="shared" si="2"/>
        <v>K</v>
      </c>
      <c r="O14" t="str">
        <f t="shared" si="3"/>
        <v/>
      </c>
      <c r="P14" t="str">
        <f t="shared" si="4"/>
        <v/>
      </c>
      <c r="Q14" t="str">
        <f t="shared" si="5"/>
        <v>BK</v>
      </c>
      <c r="R14" t="str">
        <f t="shared" si="6"/>
        <v>hiếubk_k46</v>
      </c>
      <c r="S14" t="s">
        <v>255</v>
      </c>
      <c r="T14" t="str">
        <f t="shared" si="7"/>
        <v>020604</v>
      </c>
      <c r="U14" t="str">
        <f t="shared" si="8"/>
        <v>Bùi Khắc Hiếu</v>
      </c>
      <c r="V14">
        <f t="shared" si="9"/>
        <v>1</v>
      </c>
    </row>
    <row r="15" spans="1:22" x14ac:dyDescent="0.35">
      <c r="A15">
        <v>14</v>
      </c>
      <c r="B15" t="s">
        <v>56</v>
      </c>
      <c r="C15" t="s">
        <v>57</v>
      </c>
      <c r="D15" t="s">
        <v>54</v>
      </c>
      <c r="E15" t="s">
        <v>58</v>
      </c>
      <c r="F15" t="s">
        <v>10</v>
      </c>
      <c r="H15">
        <v>0</v>
      </c>
      <c r="I15">
        <f t="shared" si="0"/>
        <v>7</v>
      </c>
      <c r="J15">
        <f t="shared" si="0"/>
        <v>12</v>
      </c>
      <c r="K15">
        <f t="shared" si="0"/>
        <v>16</v>
      </c>
      <c r="L15">
        <f t="shared" si="0"/>
        <v>16</v>
      </c>
      <c r="M15" t="str">
        <f t="shared" si="1"/>
        <v>T</v>
      </c>
      <c r="N15" t="str">
        <f t="shared" si="2"/>
        <v>Đ</v>
      </c>
      <c r="O15" t="str">
        <f t="shared" si="3"/>
        <v>M</v>
      </c>
      <c r="P15" t="str">
        <f t="shared" si="4"/>
        <v/>
      </c>
      <c r="Q15" t="str">
        <f t="shared" si="5"/>
        <v>TĐM</v>
      </c>
      <c r="R15" t="str">
        <f t="shared" si="6"/>
        <v>hiếutđm_k46</v>
      </c>
      <c r="S15" t="s">
        <v>256</v>
      </c>
      <c r="T15" t="str">
        <f t="shared" si="7"/>
        <v>020116</v>
      </c>
      <c r="U15" t="str">
        <f t="shared" si="8"/>
        <v>Trương Đình Minh Hiếu</v>
      </c>
      <c r="V15">
        <f t="shared" si="9"/>
        <v>1</v>
      </c>
    </row>
    <row r="16" spans="1:22" x14ac:dyDescent="0.35">
      <c r="A16">
        <v>15</v>
      </c>
      <c r="B16" t="s">
        <v>59</v>
      </c>
      <c r="C16" t="s">
        <v>60</v>
      </c>
      <c r="D16" t="s">
        <v>61</v>
      </c>
      <c r="E16" t="s">
        <v>62</v>
      </c>
      <c r="F16" t="s">
        <v>10</v>
      </c>
      <c r="H16">
        <v>0</v>
      </c>
      <c r="I16">
        <f t="shared" si="0"/>
        <v>3</v>
      </c>
      <c r="J16">
        <f t="shared" si="0"/>
        <v>6</v>
      </c>
      <c r="K16">
        <f t="shared" si="0"/>
        <v>6</v>
      </c>
      <c r="L16">
        <f t="shared" si="0"/>
        <v>6</v>
      </c>
      <c r="M16" t="str">
        <f t="shared" si="1"/>
        <v>L</v>
      </c>
      <c r="N16" t="str">
        <f t="shared" si="2"/>
        <v>N</v>
      </c>
      <c r="O16" t="str">
        <f t="shared" si="3"/>
        <v/>
      </c>
      <c r="P16" t="str">
        <f t="shared" si="4"/>
        <v/>
      </c>
      <c r="Q16" t="str">
        <f t="shared" si="5"/>
        <v>LN</v>
      </c>
      <c r="R16" t="str">
        <f t="shared" si="6"/>
        <v>hoàngln_k46</v>
      </c>
      <c r="S16" t="s">
        <v>257</v>
      </c>
      <c r="T16" t="str">
        <f t="shared" si="7"/>
        <v>020131</v>
      </c>
      <c r="U16" t="str">
        <f t="shared" si="8"/>
        <v>Lê Nhữ Hoàng</v>
      </c>
      <c r="V16">
        <f t="shared" si="9"/>
        <v>1</v>
      </c>
    </row>
    <row r="17" spans="1:22" x14ac:dyDescent="0.35">
      <c r="A17">
        <v>16</v>
      </c>
      <c r="B17" t="s">
        <v>63</v>
      </c>
      <c r="C17" t="s">
        <v>64</v>
      </c>
      <c r="D17" t="s">
        <v>65</v>
      </c>
      <c r="E17" t="s">
        <v>66</v>
      </c>
      <c r="F17" t="s">
        <v>10</v>
      </c>
      <c r="H17">
        <v>0</v>
      </c>
      <c r="I17">
        <f t="shared" si="0"/>
        <v>7</v>
      </c>
      <c r="J17">
        <f t="shared" si="0"/>
        <v>11</v>
      </c>
      <c r="K17">
        <f t="shared" si="0"/>
        <v>11</v>
      </c>
      <c r="L17">
        <f t="shared" si="0"/>
        <v>11</v>
      </c>
      <c r="M17" t="str">
        <f t="shared" si="1"/>
        <v>N</v>
      </c>
      <c r="N17" t="str">
        <f t="shared" si="2"/>
        <v>V</v>
      </c>
      <c r="O17" t="str">
        <f t="shared" si="3"/>
        <v/>
      </c>
      <c r="P17" t="str">
        <f t="shared" si="4"/>
        <v/>
      </c>
      <c r="Q17" t="str">
        <f t="shared" si="5"/>
        <v>NV</v>
      </c>
      <c r="R17" t="str">
        <f t="shared" si="6"/>
        <v>hòanv_k46</v>
      </c>
      <c r="S17" t="s">
        <v>258</v>
      </c>
      <c r="T17" t="str">
        <f t="shared" si="7"/>
        <v>020122</v>
      </c>
      <c r="U17" t="str">
        <f t="shared" si="8"/>
        <v>Nguyễn Việt Hòa</v>
      </c>
      <c r="V17">
        <f t="shared" si="9"/>
        <v>1</v>
      </c>
    </row>
    <row r="18" spans="1:22" x14ac:dyDescent="0.35">
      <c r="A18">
        <v>17</v>
      </c>
      <c r="B18" t="s">
        <v>67</v>
      </c>
      <c r="C18" t="s">
        <v>68</v>
      </c>
      <c r="D18" t="s">
        <v>69</v>
      </c>
      <c r="E18" t="s">
        <v>70</v>
      </c>
      <c r="F18" t="s">
        <v>10</v>
      </c>
      <c r="H18">
        <v>0</v>
      </c>
      <c r="I18">
        <f t="shared" si="0"/>
        <v>5</v>
      </c>
      <c r="J18">
        <f t="shared" si="0"/>
        <v>9</v>
      </c>
      <c r="K18">
        <f t="shared" si="0"/>
        <v>15</v>
      </c>
      <c r="L18">
        <f t="shared" si="0"/>
        <v>15</v>
      </c>
      <c r="M18" t="str">
        <f t="shared" si="1"/>
        <v>C</v>
      </c>
      <c r="N18" t="str">
        <f t="shared" si="2"/>
        <v>V</v>
      </c>
      <c r="O18" t="str">
        <f t="shared" si="3"/>
        <v>T</v>
      </c>
      <c r="P18" t="str">
        <f t="shared" si="4"/>
        <v/>
      </c>
      <c r="Q18" t="str">
        <f t="shared" si="5"/>
        <v>CVT</v>
      </c>
      <c r="R18" t="str">
        <f t="shared" si="6"/>
        <v>huycvt_k46</v>
      </c>
      <c r="S18" t="s">
        <v>232</v>
      </c>
      <c r="T18" t="str">
        <f t="shared" si="7"/>
        <v>020156</v>
      </c>
      <c r="U18" t="str">
        <f t="shared" si="8"/>
        <v>Châu Văn Trường Huy</v>
      </c>
      <c r="V18">
        <f t="shared" si="9"/>
        <v>1</v>
      </c>
    </row>
    <row r="19" spans="1:22" x14ac:dyDescent="0.35">
      <c r="A19">
        <v>18</v>
      </c>
      <c r="B19" t="s">
        <v>71</v>
      </c>
      <c r="C19" t="s">
        <v>72</v>
      </c>
      <c r="D19" t="s">
        <v>73</v>
      </c>
      <c r="E19" t="s">
        <v>74</v>
      </c>
      <c r="F19" t="s">
        <v>10</v>
      </c>
      <c r="H19">
        <v>0</v>
      </c>
      <c r="I19">
        <f t="shared" si="0"/>
        <v>3</v>
      </c>
      <c r="J19">
        <f t="shared" si="0"/>
        <v>6</v>
      </c>
      <c r="K19">
        <f t="shared" si="0"/>
        <v>10</v>
      </c>
      <c r="L19">
        <f t="shared" si="0"/>
        <v>10</v>
      </c>
      <c r="M19" t="str">
        <f t="shared" si="1"/>
        <v>V</v>
      </c>
      <c r="N19" t="str">
        <f t="shared" si="2"/>
        <v>L</v>
      </c>
      <c r="O19" t="str">
        <f t="shared" si="3"/>
        <v>T</v>
      </c>
      <c r="P19" t="str">
        <f t="shared" si="4"/>
        <v/>
      </c>
      <c r="Q19" t="str">
        <f t="shared" si="5"/>
        <v>VLT</v>
      </c>
      <c r="R19" t="str">
        <f t="shared" si="6"/>
        <v>hưngvlt_k46</v>
      </c>
      <c r="S19" t="s">
        <v>259</v>
      </c>
      <c r="T19" t="str">
        <f t="shared" si="7"/>
        <v>020147</v>
      </c>
      <c r="U19" t="str">
        <f t="shared" si="8"/>
        <v>Võ Lê Tuấn Hưng</v>
      </c>
      <c r="V19">
        <f t="shared" si="9"/>
        <v>1</v>
      </c>
    </row>
    <row r="20" spans="1:22" x14ac:dyDescent="0.35">
      <c r="A20">
        <v>19</v>
      </c>
      <c r="B20" t="s">
        <v>75</v>
      </c>
      <c r="C20" t="s">
        <v>76</v>
      </c>
      <c r="D20" t="s">
        <v>77</v>
      </c>
      <c r="E20" t="s">
        <v>78</v>
      </c>
      <c r="F20" t="s">
        <v>10</v>
      </c>
      <c r="H20">
        <v>0</v>
      </c>
      <c r="I20">
        <f t="shared" si="0"/>
        <v>4</v>
      </c>
      <c r="J20">
        <f t="shared" si="0"/>
        <v>9</v>
      </c>
      <c r="K20">
        <f t="shared" si="0"/>
        <v>14</v>
      </c>
      <c r="L20">
        <f t="shared" si="0"/>
        <v>14</v>
      </c>
      <c r="M20" t="str">
        <f t="shared" si="1"/>
        <v>N</v>
      </c>
      <c r="N20" t="str">
        <f t="shared" si="2"/>
        <v>T</v>
      </c>
      <c r="O20" t="str">
        <f t="shared" si="3"/>
        <v>T</v>
      </c>
      <c r="P20" t="str">
        <f t="shared" si="4"/>
        <v/>
      </c>
      <c r="Q20" t="str">
        <f t="shared" si="5"/>
        <v>NTT</v>
      </c>
      <c r="R20" t="str">
        <f t="shared" si="6"/>
        <v>khangntt_k46</v>
      </c>
      <c r="S20" t="s">
        <v>233</v>
      </c>
      <c r="T20" t="str">
        <f t="shared" si="7"/>
        <v>020635</v>
      </c>
      <c r="U20" t="str">
        <f t="shared" si="8"/>
        <v>Ngô Trần Thuận Khang</v>
      </c>
      <c r="V20">
        <f t="shared" si="9"/>
        <v>1</v>
      </c>
    </row>
    <row r="21" spans="1:22" x14ac:dyDescent="0.35">
      <c r="A21">
        <v>20</v>
      </c>
      <c r="B21" t="s">
        <v>79</v>
      </c>
      <c r="C21" t="s">
        <v>80</v>
      </c>
      <c r="D21" t="s">
        <v>81</v>
      </c>
      <c r="E21" t="s">
        <v>82</v>
      </c>
      <c r="F21" t="s">
        <v>10</v>
      </c>
      <c r="H21">
        <v>0</v>
      </c>
      <c r="I21">
        <f t="shared" si="0"/>
        <v>4</v>
      </c>
      <c r="J21">
        <f t="shared" si="0"/>
        <v>7</v>
      </c>
      <c r="K21">
        <f t="shared" si="0"/>
        <v>7</v>
      </c>
      <c r="L21">
        <f t="shared" si="0"/>
        <v>7</v>
      </c>
      <c r="M21" t="str">
        <f t="shared" si="1"/>
        <v>Đ</v>
      </c>
      <c r="N21" t="str">
        <f t="shared" si="2"/>
        <v>D</v>
      </c>
      <c r="O21" t="str">
        <f t="shared" si="3"/>
        <v/>
      </c>
      <c r="P21" t="str">
        <f t="shared" si="4"/>
        <v/>
      </c>
      <c r="Q21" t="str">
        <f t="shared" si="5"/>
        <v>ĐD</v>
      </c>
      <c r="R21" t="str">
        <f t="shared" si="6"/>
        <v>khánhđd_k46</v>
      </c>
      <c r="S21" t="s">
        <v>260</v>
      </c>
      <c r="T21" t="str">
        <f t="shared" si="7"/>
        <v>020171</v>
      </c>
      <c r="U21" t="str">
        <f t="shared" si="8"/>
        <v>Đào Duy Khánh</v>
      </c>
      <c r="V21">
        <f t="shared" si="9"/>
        <v>1</v>
      </c>
    </row>
    <row r="22" spans="1:22" x14ac:dyDescent="0.35">
      <c r="A22">
        <v>21</v>
      </c>
      <c r="B22" t="s">
        <v>83</v>
      </c>
      <c r="C22" t="s">
        <v>40</v>
      </c>
      <c r="D22" t="s">
        <v>81</v>
      </c>
      <c r="E22" t="s">
        <v>84</v>
      </c>
      <c r="F22" t="s">
        <v>10</v>
      </c>
      <c r="H22">
        <v>0</v>
      </c>
      <c r="I22">
        <f t="shared" si="0"/>
        <v>7</v>
      </c>
      <c r="J22">
        <f t="shared" si="0"/>
        <v>10</v>
      </c>
      <c r="K22">
        <f t="shared" si="0"/>
        <v>10</v>
      </c>
      <c r="L22">
        <f t="shared" si="0"/>
        <v>10</v>
      </c>
      <c r="M22" t="str">
        <f t="shared" si="1"/>
        <v>N</v>
      </c>
      <c r="N22" t="str">
        <f t="shared" si="2"/>
        <v>H</v>
      </c>
      <c r="O22" t="str">
        <f t="shared" si="3"/>
        <v/>
      </c>
      <c r="P22" t="str">
        <f t="shared" si="4"/>
        <v/>
      </c>
      <c r="Q22" t="str">
        <f t="shared" si="5"/>
        <v>NH</v>
      </c>
      <c r="R22" t="str">
        <f t="shared" si="6"/>
        <v>khánhnh_k46</v>
      </c>
      <c r="S22" t="s">
        <v>261</v>
      </c>
      <c r="T22" t="str">
        <f t="shared" si="7"/>
        <v>020174</v>
      </c>
      <c r="U22" t="str">
        <f t="shared" si="8"/>
        <v>Nguyễn Hữu Khánh</v>
      </c>
      <c r="V22">
        <f t="shared" si="9"/>
        <v>1</v>
      </c>
    </row>
    <row r="23" spans="1:22" x14ac:dyDescent="0.35">
      <c r="A23">
        <v>22</v>
      </c>
      <c r="B23" t="s">
        <v>85</v>
      </c>
      <c r="C23" t="s">
        <v>86</v>
      </c>
      <c r="D23" t="s">
        <v>87</v>
      </c>
      <c r="E23" t="s">
        <v>88</v>
      </c>
      <c r="F23" t="s">
        <v>10</v>
      </c>
      <c r="H23">
        <v>0</v>
      </c>
      <c r="I23">
        <f t="shared" si="0"/>
        <v>7</v>
      </c>
      <c r="J23">
        <f t="shared" si="0"/>
        <v>11</v>
      </c>
      <c r="K23">
        <f t="shared" si="0"/>
        <v>11</v>
      </c>
      <c r="L23">
        <f t="shared" si="0"/>
        <v>11</v>
      </c>
      <c r="M23" t="str">
        <f t="shared" si="1"/>
        <v>N</v>
      </c>
      <c r="N23" t="str">
        <f t="shared" si="2"/>
        <v>Đ</v>
      </c>
      <c r="O23" t="str">
        <f t="shared" si="3"/>
        <v/>
      </c>
      <c r="P23" t="str">
        <f t="shared" si="4"/>
        <v/>
      </c>
      <c r="Q23" t="str">
        <f t="shared" si="5"/>
        <v>NĐ</v>
      </c>
      <c r="R23" t="str">
        <f t="shared" si="6"/>
        <v>khôinđ_k46</v>
      </c>
      <c r="S23" t="s">
        <v>262</v>
      </c>
      <c r="T23" t="str">
        <f t="shared" si="7"/>
        <v>020641</v>
      </c>
      <c r="U23" t="str">
        <f t="shared" si="8"/>
        <v>Nguyễn Đăng Khôi</v>
      </c>
      <c r="V23">
        <f t="shared" si="9"/>
        <v>1</v>
      </c>
    </row>
    <row r="24" spans="1:22" x14ac:dyDescent="0.35">
      <c r="A24">
        <v>23</v>
      </c>
      <c r="B24" t="s">
        <v>89</v>
      </c>
      <c r="C24" t="s">
        <v>90</v>
      </c>
      <c r="D24" t="s">
        <v>91</v>
      </c>
      <c r="E24" t="s">
        <v>92</v>
      </c>
      <c r="F24" t="s">
        <v>10</v>
      </c>
      <c r="H24">
        <v>0</v>
      </c>
      <c r="I24">
        <f t="shared" si="0"/>
        <v>4</v>
      </c>
      <c r="J24">
        <f t="shared" si="0"/>
        <v>4</v>
      </c>
      <c r="K24">
        <f t="shared" si="0"/>
        <v>4</v>
      </c>
      <c r="L24">
        <f t="shared" si="0"/>
        <v>4</v>
      </c>
      <c r="M24" t="str">
        <f t="shared" si="1"/>
        <v>C</v>
      </c>
      <c r="N24" t="str">
        <f t="shared" si="2"/>
        <v/>
      </c>
      <c r="O24" t="str">
        <f t="shared" si="3"/>
        <v/>
      </c>
      <c r="P24" t="str">
        <f t="shared" si="4"/>
        <v/>
      </c>
      <c r="Q24" t="str">
        <f t="shared" si="5"/>
        <v>C</v>
      </c>
      <c r="R24" t="str">
        <f t="shared" si="6"/>
        <v>kỳc_k46</v>
      </c>
      <c r="S24" t="s">
        <v>263</v>
      </c>
      <c r="T24" t="str">
        <f t="shared" si="7"/>
        <v>020189</v>
      </c>
      <c r="U24" t="str">
        <f t="shared" si="8"/>
        <v>Châu Kỳ</v>
      </c>
      <c r="V24">
        <f t="shared" si="9"/>
        <v>1</v>
      </c>
    </row>
    <row r="25" spans="1:22" x14ac:dyDescent="0.35">
      <c r="A25">
        <v>24</v>
      </c>
      <c r="B25" t="s">
        <v>93</v>
      </c>
      <c r="C25" t="s">
        <v>94</v>
      </c>
      <c r="D25" t="s">
        <v>95</v>
      </c>
      <c r="E25" t="s">
        <v>96</v>
      </c>
      <c r="F25" t="s">
        <v>10</v>
      </c>
      <c r="H25">
        <v>0</v>
      </c>
      <c r="I25">
        <f t="shared" si="0"/>
        <v>3</v>
      </c>
      <c r="J25">
        <f t="shared" si="0"/>
        <v>7</v>
      </c>
      <c r="K25">
        <f t="shared" si="0"/>
        <v>11</v>
      </c>
      <c r="L25">
        <f t="shared" si="0"/>
        <v>11</v>
      </c>
      <c r="M25" t="str">
        <f t="shared" si="1"/>
        <v>L</v>
      </c>
      <c r="N25" t="str">
        <f t="shared" si="2"/>
        <v>T</v>
      </c>
      <c r="O25" t="str">
        <f t="shared" si="3"/>
        <v>T</v>
      </c>
      <c r="P25" t="str">
        <f t="shared" si="4"/>
        <v/>
      </c>
      <c r="Q25" t="str">
        <f t="shared" si="5"/>
        <v>LTT</v>
      </c>
      <c r="R25" t="str">
        <f t="shared" si="6"/>
        <v>linhltt_k46</v>
      </c>
      <c r="S25" t="s">
        <v>234</v>
      </c>
      <c r="T25" t="str">
        <f t="shared" si="7"/>
        <v>020200</v>
      </c>
      <c r="U25" t="str">
        <f t="shared" si="8"/>
        <v>Lê Thị Thùy Linh</v>
      </c>
      <c r="V25">
        <f t="shared" si="9"/>
        <v>1</v>
      </c>
    </row>
    <row r="26" spans="1:22" x14ac:dyDescent="0.35">
      <c r="A26">
        <v>25</v>
      </c>
      <c r="B26" t="s">
        <v>97</v>
      </c>
      <c r="C26" t="s">
        <v>61</v>
      </c>
      <c r="D26" t="s">
        <v>98</v>
      </c>
      <c r="E26" t="s">
        <v>99</v>
      </c>
      <c r="F26" t="s">
        <v>100</v>
      </c>
      <c r="H26">
        <v>0</v>
      </c>
      <c r="I26">
        <f t="shared" si="0"/>
        <v>5</v>
      </c>
      <c r="J26">
        <f t="shared" si="0"/>
        <v>5</v>
      </c>
      <c r="K26">
        <f t="shared" si="0"/>
        <v>5</v>
      </c>
      <c r="L26">
        <f t="shared" si="0"/>
        <v>5</v>
      </c>
      <c r="M26" t="str">
        <f t="shared" si="1"/>
        <v>H</v>
      </c>
      <c r="N26" t="str">
        <f t="shared" si="2"/>
        <v/>
      </c>
      <c r="O26" t="str">
        <f t="shared" si="3"/>
        <v/>
      </c>
      <c r="P26" t="str">
        <f t="shared" si="4"/>
        <v/>
      </c>
      <c r="Q26" t="str">
        <f t="shared" si="5"/>
        <v>H</v>
      </c>
      <c r="R26" t="str">
        <f t="shared" si="6"/>
        <v>lựch_k45</v>
      </c>
      <c r="S26" t="s">
        <v>264</v>
      </c>
      <c r="T26" t="str">
        <f t="shared" si="7"/>
        <v>020499</v>
      </c>
      <c r="U26" t="str">
        <f t="shared" si="8"/>
        <v>Hoàng Lực</v>
      </c>
      <c r="V26">
        <f t="shared" si="9"/>
        <v>1</v>
      </c>
    </row>
    <row r="27" spans="1:22" x14ac:dyDescent="0.35">
      <c r="A27">
        <v>26</v>
      </c>
      <c r="B27" t="s">
        <v>101</v>
      </c>
      <c r="C27" t="s">
        <v>102</v>
      </c>
      <c r="D27" t="s">
        <v>103</v>
      </c>
      <c r="E27" t="s">
        <v>104</v>
      </c>
      <c r="F27" t="s">
        <v>10</v>
      </c>
      <c r="H27">
        <v>0</v>
      </c>
      <c r="I27">
        <f t="shared" si="0"/>
        <v>3</v>
      </c>
      <c r="J27">
        <f t="shared" si="0"/>
        <v>7</v>
      </c>
      <c r="K27">
        <f t="shared" si="0"/>
        <v>12</v>
      </c>
      <c r="L27">
        <f t="shared" si="0"/>
        <v>12</v>
      </c>
      <c r="M27" t="str">
        <f t="shared" si="1"/>
        <v>L</v>
      </c>
      <c r="N27" t="str">
        <f t="shared" si="2"/>
        <v>T</v>
      </c>
      <c r="O27" t="str">
        <f t="shared" si="3"/>
        <v>K</v>
      </c>
      <c r="P27" t="str">
        <f t="shared" si="4"/>
        <v/>
      </c>
      <c r="Q27" t="str">
        <f t="shared" si="5"/>
        <v>LTK</v>
      </c>
      <c r="R27" t="str">
        <f t="shared" si="6"/>
        <v>lyltk_k46</v>
      </c>
      <c r="S27" t="s">
        <v>235</v>
      </c>
      <c r="T27" t="str">
        <f t="shared" si="7"/>
        <v>020661</v>
      </c>
      <c r="U27" t="str">
        <f t="shared" si="8"/>
        <v>Lê Thị Khánh Ly</v>
      </c>
      <c r="V27">
        <f t="shared" si="9"/>
        <v>1</v>
      </c>
    </row>
    <row r="28" spans="1:22" x14ac:dyDescent="0.35">
      <c r="A28">
        <v>27</v>
      </c>
      <c r="B28" t="s">
        <v>105</v>
      </c>
      <c r="C28" t="s">
        <v>106</v>
      </c>
      <c r="D28" t="s">
        <v>103</v>
      </c>
      <c r="E28" t="s">
        <v>107</v>
      </c>
      <c r="F28" t="s">
        <v>10</v>
      </c>
      <c r="H28">
        <v>0</v>
      </c>
      <c r="I28">
        <f t="shared" si="0"/>
        <v>4</v>
      </c>
      <c r="J28">
        <f t="shared" si="0"/>
        <v>8</v>
      </c>
      <c r="K28">
        <f t="shared" si="0"/>
        <v>11</v>
      </c>
      <c r="L28">
        <f t="shared" si="0"/>
        <v>11</v>
      </c>
      <c r="M28" t="str">
        <f t="shared" si="1"/>
        <v>N</v>
      </c>
      <c r="N28" t="str">
        <f t="shared" si="2"/>
        <v>T</v>
      </c>
      <c r="O28" t="str">
        <f t="shared" si="3"/>
        <v>C</v>
      </c>
      <c r="P28" t="str">
        <f t="shared" si="4"/>
        <v/>
      </c>
      <c r="Q28" t="str">
        <f t="shared" si="5"/>
        <v>NTC</v>
      </c>
      <c r="R28" t="str">
        <f t="shared" si="6"/>
        <v>lyntc_k46</v>
      </c>
      <c r="S28" t="s">
        <v>236</v>
      </c>
      <c r="T28" t="str">
        <f t="shared" si="7"/>
        <v>020662</v>
      </c>
      <c r="U28" t="str">
        <f t="shared" si="8"/>
        <v>Ngô Thị Cẩm Ly</v>
      </c>
      <c r="V28">
        <f t="shared" si="9"/>
        <v>1</v>
      </c>
    </row>
    <row r="29" spans="1:22" x14ac:dyDescent="0.35">
      <c r="A29">
        <v>28</v>
      </c>
      <c r="B29" t="s">
        <v>108</v>
      </c>
      <c r="C29" t="s">
        <v>109</v>
      </c>
      <c r="D29" t="s">
        <v>110</v>
      </c>
      <c r="E29" t="s">
        <v>111</v>
      </c>
      <c r="F29" t="s">
        <v>10</v>
      </c>
      <c r="H29">
        <v>0</v>
      </c>
      <c r="I29">
        <f t="shared" si="0"/>
        <v>3</v>
      </c>
      <c r="J29">
        <f t="shared" si="0"/>
        <v>7</v>
      </c>
      <c r="K29">
        <f t="shared" si="0"/>
        <v>7</v>
      </c>
      <c r="L29">
        <f t="shared" si="0"/>
        <v>7</v>
      </c>
      <c r="M29" t="str">
        <f t="shared" si="1"/>
        <v>Đ</v>
      </c>
      <c r="N29" t="str">
        <f t="shared" si="2"/>
        <v>T</v>
      </c>
      <c r="O29" t="str">
        <f t="shared" si="3"/>
        <v/>
      </c>
      <c r="P29" t="str">
        <f t="shared" si="4"/>
        <v/>
      </c>
      <c r="Q29" t="str">
        <f t="shared" si="5"/>
        <v>ĐT</v>
      </c>
      <c r="R29" t="str">
        <f t="shared" si="6"/>
        <v>mạnhđt_k46</v>
      </c>
      <c r="S29" t="s">
        <v>265</v>
      </c>
      <c r="T29" t="str">
        <f t="shared" si="7"/>
        <v>020665</v>
      </c>
      <c r="U29" t="str">
        <f t="shared" si="8"/>
        <v>Đỗ Tiến Mạnh</v>
      </c>
      <c r="V29">
        <f t="shared" si="9"/>
        <v>1</v>
      </c>
    </row>
    <row r="30" spans="1:22" x14ac:dyDescent="0.35">
      <c r="A30">
        <v>29</v>
      </c>
      <c r="B30" t="s">
        <v>112</v>
      </c>
      <c r="C30" t="s">
        <v>113</v>
      </c>
      <c r="D30" t="s">
        <v>114</v>
      </c>
      <c r="E30" t="s">
        <v>115</v>
      </c>
      <c r="F30" t="s">
        <v>10</v>
      </c>
      <c r="H30">
        <v>0</v>
      </c>
      <c r="I30">
        <f t="shared" si="0"/>
        <v>7</v>
      </c>
      <c r="J30">
        <f t="shared" si="0"/>
        <v>11</v>
      </c>
      <c r="K30">
        <f t="shared" si="0"/>
        <v>15</v>
      </c>
      <c r="L30">
        <f t="shared" si="0"/>
        <v>15</v>
      </c>
      <c r="M30" t="str">
        <f t="shared" si="1"/>
        <v>N</v>
      </c>
      <c r="N30" t="str">
        <f t="shared" si="2"/>
        <v>T</v>
      </c>
      <c r="O30" t="str">
        <f t="shared" si="3"/>
        <v>N</v>
      </c>
      <c r="P30" t="str">
        <f t="shared" si="4"/>
        <v/>
      </c>
      <c r="Q30" t="str">
        <f t="shared" si="5"/>
        <v>NTN</v>
      </c>
      <c r="R30" t="str">
        <f t="shared" si="6"/>
        <v>mâyntn_k46</v>
      </c>
      <c r="S30" t="s">
        <v>266</v>
      </c>
      <c r="T30" t="str">
        <f t="shared" si="7"/>
        <v>020666</v>
      </c>
      <c r="U30" t="str">
        <f t="shared" si="8"/>
        <v>Nguyễn Thị Ngọc Mây</v>
      </c>
      <c r="V30">
        <f t="shared" si="9"/>
        <v>1</v>
      </c>
    </row>
    <row r="31" spans="1:22" x14ac:dyDescent="0.35">
      <c r="A31">
        <v>30</v>
      </c>
      <c r="B31" t="s">
        <v>116</v>
      </c>
      <c r="C31" t="s">
        <v>117</v>
      </c>
      <c r="D31" t="s">
        <v>118</v>
      </c>
      <c r="E31" t="s">
        <v>119</v>
      </c>
      <c r="F31" t="s">
        <v>100</v>
      </c>
      <c r="H31">
        <v>0</v>
      </c>
      <c r="I31">
        <f t="shared" si="0"/>
        <v>6</v>
      </c>
      <c r="J31">
        <f t="shared" si="0"/>
        <v>9</v>
      </c>
      <c r="K31">
        <f t="shared" si="0"/>
        <v>9</v>
      </c>
      <c r="L31">
        <f t="shared" si="0"/>
        <v>9</v>
      </c>
      <c r="M31" t="str">
        <f t="shared" si="1"/>
        <v>H</v>
      </c>
      <c r="N31" t="str">
        <f t="shared" si="2"/>
        <v>V</v>
      </c>
      <c r="O31" t="str">
        <f t="shared" si="3"/>
        <v/>
      </c>
      <c r="P31" t="str">
        <f t="shared" si="4"/>
        <v/>
      </c>
      <c r="Q31" t="str">
        <f t="shared" si="5"/>
        <v>HV</v>
      </c>
      <c r="R31" t="str">
        <f t="shared" si="6"/>
        <v>minhhv_k45</v>
      </c>
      <c r="S31" t="s">
        <v>237</v>
      </c>
      <c r="T31" t="str">
        <f t="shared" si="7"/>
        <v>080070</v>
      </c>
      <c r="U31" t="str">
        <f t="shared" si="8"/>
        <v>Huỳnh Văn Minh</v>
      </c>
      <c r="V31">
        <f t="shared" si="9"/>
        <v>1</v>
      </c>
    </row>
    <row r="32" spans="1:22" x14ac:dyDescent="0.35">
      <c r="A32">
        <v>31</v>
      </c>
      <c r="B32" t="s">
        <v>120</v>
      </c>
      <c r="C32" t="s">
        <v>121</v>
      </c>
      <c r="D32" t="s">
        <v>118</v>
      </c>
      <c r="E32" t="s">
        <v>122</v>
      </c>
      <c r="F32" t="s">
        <v>10</v>
      </c>
      <c r="H32">
        <v>0</v>
      </c>
      <c r="I32">
        <f t="shared" si="0"/>
        <v>3</v>
      </c>
      <c r="J32">
        <f t="shared" si="0"/>
        <v>7</v>
      </c>
      <c r="K32">
        <f t="shared" si="0"/>
        <v>7</v>
      </c>
      <c r="L32">
        <f t="shared" si="0"/>
        <v>7</v>
      </c>
      <c r="M32" t="str">
        <f t="shared" si="1"/>
        <v>L</v>
      </c>
      <c r="N32" t="str">
        <f t="shared" si="2"/>
        <v>N</v>
      </c>
      <c r="O32" t="str">
        <f t="shared" si="3"/>
        <v/>
      </c>
      <c r="P32" t="str">
        <f t="shared" si="4"/>
        <v/>
      </c>
      <c r="Q32" t="str">
        <f t="shared" si="5"/>
        <v>LN</v>
      </c>
      <c r="R32" t="str">
        <f t="shared" si="6"/>
        <v>minhln_k46</v>
      </c>
      <c r="S32" t="s">
        <v>238</v>
      </c>
      <c r="T32" t="str">
        <f t="shared" si="7"/>
        <v>020232</v>
      </c>
      <c r="U32" t="str">
        <f t="shared" si="8"/>
        <v>Lê Ngọc Minh</v>
      </c>
      <c r="V32">
        <f t="shared" si="9"/>
        <v>1</v>
      </c>
    </row>
    <row r="33" spans="1:22" x14ac:dyDescent="0.35">
      <c r="A33">
        <v>32</v>
      </c>
      <c r="B33" t="s">
        <v>123</v>
      </c>
      <c r="C33" t="s">
        <v>124</v>
      </c>
      <c r="D33" t="s">
        <v>118</v>
      </c>
      <c r="E33" t="s">
        <v>125</v>
      </c>
      <c r="F33" t="s">
        <v>10</v>
      </c>
      <c r="H33">
        <v>0</v>
      </c>
      <c r="I33">
        <f t="shared" si="0"/>
        <v>3</v>
      </c>
      <c r="J33">
        <f t="shared" si="0"/>
        <v>6</v>
      </c>
      <c r="K33">
        <f t="shared" si="0"/>
        <v>6</v>
      </c>
      <c r="L33">
        <f t="shared" si="0"/>
        <v>6</v>
      </c>
      <c r="M33" t="str">
        <f t="shared" si="1"/>
        <v>L</v>
      </c>
      <c r="N33" t="str">
        <f t="shared" si="2"/>
        <v>V</v>
      </c>
      <c r="O33" t="str">
        <f t="shared" si="3"/>
        <v/>
      </c>
      <c r="P33" t="str">
        <f t="shared" si="4"/>
        <v/>
      </c>
      <c r="Q33" t="str">
        <f t="shared" si="5"/>
        <v>LV</v>
      </c>
      <c r="R33" t="str">
        <f t="shared" si="6"/>
        <v>minhlv_k46</v>
      </c>
      <c r="S33" t="s">
        <v>239</v>
      </c>
      <c r="T33" t="str">
        <f t="shared" si="7"/>
        <v>020239</v>
      </c>
      <c r="U33" t="str">
        <f t="shared" si="8"/>
        <v>Lê Văn Minh</v>
      </c>
      <c r="V33">
        <f t="shared" si="9"/>
        <v>1</v>
      </c>
    </row>
    <row r="34" spans="1:22" x14ac:dyDescent="0.35">
      <c r="A34">
        <v>33</v>
      </c>
      <c r="B34" t="s">
        <v>126</v>
      </c>
      <c r="C34" t="s">
        <v>127</v>
      </c>
      <c r="D34" t="s">
        <v>128</v>
      </c>
      <c r="E34" t="s">
        <v>129</v>
      </c>
      <c r="F34" t="s">
        <v>10</v>
      </c>
      <c r="H34">
        <v>0</v>
      </c>
      <c r="I34">
        <f t="shared" si="0"/>
        <v>7</v>
      </c>
      <c r="J34">
        <f t="shared" si="0"/>
        <v>10</v>
      </c>
      <c r="K34">
        <f t="shared" si="0"/>
        <v>10</v>
      </c>
      <c r="L34">
        <f t="shared" si="0"/>
        <v>10</v>
      </c>
      <c r="M34" t="str">
        <f t="shared" si="1"/>
        <v>T</v>
      </c>
      <c r="N34" t="str">
        <f t="shared" si="2"/>
        <v>H</v>
      </c>
      <c r="O34" t="str">
        <f t="shared" si="3"/>
        <v/>
      </c>
      <c r="P34" t="str">
        <f t="shared" si="4"/>
        <v/>
      </c>
      <c r="Q34" t="str">
        <f t="shared" si="5"/>
        <v>TH</v>
      </c>
      <c r="R34" t="str">
        <f t="shared" si="6"/>
        <v>ngọcth_k46</v>
      </c>
      <c r="S34" t="s">
        <v>267</v>
      </c>
      <c r="T34" t="str">
        <f t="shared" si="7"/>
        <v>020261</v>
      </c>
      <c r="U34" t="str">
        <f t="shared" si="8"/>
        <v>Trương Hữu Ngọc</v>
      </c>
      <c r="V34">
        <f t="shared" si="9"/>
        <v>1</v>
      </c>
    </row>
    <row r="35" spans="1:22" x14ac:dyDescent="0.35">
      <c r="A35">
        <v>34</v>
      </c>
      <c r="B35" t="s">
        <v>130</v>
      </c>
      <c r="C35" t="s">
        <v>131</v>
      </c>
      <c r="D35" t="s">
        <v>132</v>
      </c>
      <c r="E35" t="s">
        <v>133</v>
      </c>
      <c r="F35" t="s">
        <v>10</v>
      </c>
      <c r="H35">
        <v>0</v>
      </c>
      <c r="I35">
        <f t="shared" si="0"/>
        <v>7</v>
      </c>
      <c r="J35">
        <f t="shared" si="0"/>
        <v>9</v>
      </c>
      <c r="K35">
        <f t="shared" si="0"/>
        <v>9</v>
      </c>
      <c r="L35">
        <f t="shared" si="0"/>
        <v>9</v>
      </c>
      <c r="M35" t="str">
        <f t="shared" si="1"/>
        <v>N</v>
      </c>
      <c r="N35" t="str">
        <f t="shared" si="2"/>
        <v>V</v>
      </c>
      <c r="O35" t="str">
        <f t="shared" si="3"/>
        <v/>
      </c>
      <c r="P35" t="str">
        <f t="shared" si="4"/>
        <v/>
      </c>
      <c r="Q35" t="str">
        <f t="shared" si="5"/>
        <v>NV</v>
      </c>
      <c r="R35" t="str">
        <f t="shared" si="6"/>
        <v>nguyênnv_k46</v>
      </c>
      <c r="S35" t="s">
        <v>268</v>
      </c>
      <c r="T35" t="str">
        <f t="shared" si="7"/>
        <v>020685</v>
      </c>
      <c r="U35" t="str">
        <f t="shared" si="8"/>
        <v>Nguyễn Vỹ Nguyên</v>
      </c>
      <c r="V35">
        <f t="shared" si="9"/>
        <v>1</v>
      </c>
    </row>
    <row r="36" spans="1:22" x14ac:dyDescent="0.35">
      <c r="A36">
        <v>35</v>
      </c>
      <c r="B36" t="s">
        <v>134</v>
      </c>
      <c r="C36" t="s">
        <v>135</v>
      </c>
      <c r="D36" t="s">
        <v>136</v>
      </c>
      <c r="E36" t="s">
        <v>137</v>
      </c>
      <c r="F36" t="s">
        <v>10</v>
      </c>
      <c r="H36">
        <v>0</v>
      </c>
      <c r="I36">
        <f t="shared" si="0"/>
        <v>7</v>
      </c>
      <c r="J36">
        <f t="shared" si="0"/>
        <v>11</v>
      </c>
      <c r="K36">
        <f t="shared" si="0"/>
        <v>11</v>
      </c>
      <c r="L36">
        <f t="shared" si="0"/>
        <v>11</v>
      </c>
      <c r="M36" t="str">
        <f t="shared" si="1"/>
        <v>N</v>
      </c>
      <c r="N36" t="str">
        <f t="shared" si="2"/>
        <v>C</v>
      </c>
      <c r="O36" t="str">
        <f t="shared" si="3"/>
        <v/>
      </c>
      <c r="P36" t="str">
        <f t="shared" si="4"/>
        <v/>
      </c>
      <c r="Q36" t="str">
        <f t="shared" si="5"/>
        <v>NC</v>
      </c>
      <c r="R36" t="str">
        <f t="shared" si="6"/>
        <v>nhânnc_k46</v>
      </c>
      <c r="S36" t="s">
        <v>269</v>
      </c>
      <c r="T36" t="str">
        <f t="shared" si="7"/>
        <v>020688</v>
      </c>
      <c r="U36" t="str">
        <f t="shared" si="8"/>
        <v>Nguyễn Công Nhân</v>
      </c>
      <c r="V36">
        <f t="shared" si="9"/>
        <v>1</v>
      </c>
    </row>
    <row r="37" spans="1:22" x14ac:dyDescent="0.35">
      <c r="A37">
        <v>36</v>
      </c>
      <c r="B37" t="s">
        <v>138</v>
      </c>
      <c r="C37" t="s">
        <v>139</v>
      </c>
      <c r="D37" t="s">
        <v>140</v>
      </c>
      <c r="E37" t="s">
        <v>141</v>
      </c>
      <c r="F37" t="s">
        <v>10</v>
      </c>
      <c r="H37">
        <v>0</v>
      </c>
      <c r="I37">
        <f t="shared" si="0"/>
        <v>4</v>
      </c>
      <c r="J37">
        <f t="shared" si="0"/>
        <v>9</v>
      </c>
      <c r="K37">
        <f t="shared" si="0"/>
        <v>9</v>
      </c>
      <c r="L37">
        <f t="shared" si="0"/>
        <v>9</v>
      </c>
      <c r="M37" t="str">
        <f t="shared" si="1"/>
        <v>Đ</v>
      </c>
      <c r="N37" t="str">
        <f t="shared" si="2"/>
        <v>T</v>
      </c>
      <c r="O37" t="str">
        <f t="shared" si="3"/>
        <v/>
      </c>
      <c r="P37" t="str">
        <f t="shared" si="4"/>
        <v/>
      </c>
      <c r="Q37" t="str">
        <f t="shared" si="5"/>
        <v>ĐT</v>
      </c>
      <c r="R37" t="str">
        <f t="shared" si="6"/>
        <v>nhậtđt_k46</v>
      </c>
      <c r="S37" t="s">
        <v>270</v>
      </c>
      <c r="T37" t="str">
        <f t="shared" si="7"/>
        <v>020281</v>
      </c>
      <c r="U37" t="str">
        <f t="shared" si="8"/>
        <v>Đậu Thiện Nhật</v>
      </c>
      <c r="V37">
        <f t="shared" si="9"/>
        <v>1</v>
      </c>
    </row>
    <row r="38" spans="1:22" x14ac:dyDescent="0.35">
      <c r="A38">
        <v>37</v>
      </c>
      <c r="B38" t="s">
        <v>142</v>
      </c>
      <c r="C38" t="s">
        <v>143</v>
      </c>
      <c r="D38" t="s">
        <v>144</v>
      </c>
      <c r="E38" t="s">
        <v>145</v>
      </c>
      <c r="F38" t="s">
        <v>10</v>
      </c>
      <c r="H38">
        <v>0</v>
      </c>
      <c r="I38">
        <f t="shared" si="0"/>
        <v>5</v>
      </c>
      <c r="J38">
        <f t="shared" si="0"/>
        <v>9</v>
      </c>
      <c r="K38">
        <f t="shared" si="0"/>
        <v>12</v>
      </c>
      <c r="L38">
        <f t="shared" si="0"/>
        <v>12</v>
      </c>
      <c r="M38" t="str">
        <f t="shared" si="1"/>
        <v>Đ</v>
      </c>
      <c r="N38" t="str">
        <f t="shared" si="2"/>
        <v>T</v>
      </c>
      <c r="O38" t="str">
        <f t="shared" si="3"/>
        <v>T</v>
      </c>
      <c r="P38" t="str">
        <f t="shared" si="4"/>
        <v/>
      </c>
      <c r="Q38" t="str">
        <f t="shared" si="5"/>
        <v>ĐTT</v>
      </c>
      <c r="R38" t="str">
        <f t="shared" si="6"/>
        <v>nhiđtt_k46</v>
      </c>
      <c r="S38" t="s">
        <v>271</v>
      </c>
      <c r="T38" t="str">
        <f t="shared" si="7"/>
        <v>020693</v>
      </c>
      <c r="U38" t="str">
        <f t="shared" si="8"/>
        <v>Đặng Thị Tâm Nhi</v>
      </c>
      <c r="V38">
        <f t="shared" si="9"/>
        <v>1</v>
      </c>
    </row>
    <row r="39" spans="1:22" x14ac:dyDescent="0.35">
      <c r="A39">
        <v>38</v>
      </c>
      <c r="B39" t="s">
        <v>146</v>
      </c>
      <c r="C39" t="s">
        <v>147</v>
      </c>
      <c r="D39" t="s">
        <v>148</v>
      </c>
      <c r="E39" t="s">
        <v>149</v>
      </c>
      <c r="F39" t="s">
        <v>10</v>
      </c>
      <c r="H39">
        <v>0</v>
      </c>
      <c r="I39">
        <f t="shared" si="0"/>
        <v>5</v>
      </c>
      <c r="J39">
        <f t="shared" si="0"/>
        <v>5</v>
      </c>
      <c r="K39">
        <f t="shared" si="0"/>
        <v>5</v>
      </c>
      <c r="L39">
        <f t="shared" si="0"/>
        <v>5</v>
      </c>
      <c r="M39" t="str">
        <f t="shared" si="1"/>
        <v>Z</v>
      </c>
      <c r="N39" t="str">
        <f t="shared" si="2"/>
        <v/>
      </c>
      <c r="O39" t="str">
        <f t="shared" si="3"/>
        <v/>
      </c>
      <c r="P39" t="str">
        <f t="shared" si="4"/>
        <v/>
      </c>
      <c r="Q39" t="str">
        <f t="shared" si="5"/>
        <v>Z</v>
      </c>
      <c r="R39" t="str">
        <f t="shared" si="6"/>
        <v>nhỏz_k46</v>
      </c>
      <c r="S39" t="s">
        <v>272</v>
      </c>
      <c r="T39" t="str">
        <f t="shared" si="7"/>
        <v>020298</v>
      </c>
      <c r="U39" t="str">
        <f t="shared" si="8"/>
        <v>Zơrâm Nhỏ</v>
      </c>
      <c r="V39">
        <f t="shared" si="9"/>
        <v>1</v>
      </c>
    </row>
    <row r="40" spans="1:22" x14ac:dyDescent="0.35">
      <c r="A40">
        <v>39</v>
      </c>
      <c r="B40" t="s">
        <v>150</v>
      </c>
      <c r="C40" t="s">
        <v>151</v>
      </c>
      <c r="D40" t="s">
        <v>152</v>
      </c>
      <c r="E40" t="s">
        <v>153</v>
      </c>
      <c r="F40" t="s">
        <v>10</v>
      </c>
      <c r="H40">
        <v>0</v>
      </c>
      <c r="I40">
        <f t="shared" si="0"/>
        <v>6</v>
      </c>
      <c r="J40">
        <f t="shared" si="0"/>
        <v>12</v>
      </c>
      <c r="K40">
        <f t="shared" si="0"/>
        <v>16</v>
      </c>
      <c r="L40">
        <f t="shared" si="0"/>
        <v>16</v>
      </c>
      <c r="M40" t="str">
        <f t="shared" si="1"/>
        <v>L</v>
      </c>
      <c r="N40" t="str">
        <f t="shared" si="2"/>
        <v>T</v>
      </c>
      <c r="O40" t="str">
        <f t="shared" si="3"/>
        <v>N</v>
      </c>
      <c r="P40" t="str">
        <f t="shared" si="4"/>
        <v/>
      </c>
      <c r="Q40" t="str">
        <f t="shared" si="5"/>
        <v>LTN</v>
      </c>
      <c r="R40" t="str">
        <f t="shared" si="6"/>
        <v>nhưltn_k46</v>
      </c>
      <c r="S40" t="s">
        <v>273</v>
      </c>
      <c r="T40" t="str">
        <f t="shared" si="7"/>
        <v>020299</v>
      </c>
      <c r="U40" t="str">
        <f t="shared" si="8"/>
        <v>Lương Thanh Ngọc Như</v>
      </c>
      <c r="V40">
        <f t="shared" si="9"/>
        <v>1</v>
      </c>
    </row>
    <row r="41" spans="1:22" x14ac:dyDescent="0.35">
      <c r="A41">
        <v>40</v>
      </c>
      <c r="B41" t="s">
        <v>154</v>
      </c>
      <c r="C41" t="s">
        <v>155</v>
      </c>
      <c r="D41" t="s">
        <v>156</v>
      </c>
      <c r="E41" t="s">
        <v>157</v>
      </c>
      <c r="F41" t="s">
        <v>10</v>
      </c>
      <c r="H41">
        <v>0</v>
      </c>
      <c r="I41">
        <f t="shared" si="0"/>
        <v>7</v>
      </c>
      <c r="J41">
        <f t="shared" si="0"/>
        <v>10</v>
      </c>
      <c r="K41">
        <f t="shared" si="0"/>
        <v>10</v>
      </c>
      <c r="L41">
        <f t="shared" si="0"/>
        <v>10</v>
      </c>
      <c r="M41" t="str">
        <f t="shared" si="1"/>
        <v>N</v>
      </c>
      <c r="N41" t="str">
        <f t="shared" si="2"/>
        <v>V</v>
      </c>
      <c r="O41" t="str">
        <f t="shared" si="3"/>
        <v/>
      </c>
      <c r="P41" t="str">
        <f t="shared" si="4"/>
        <v/>
      </c>
      <c r="Q41" t="str">
        <f t="shared" si="5"/>
        <v>NV</v>
      </c>
      <c r="R41" t="str">
        <f t="shared" si="6"/>
        <v>phongnv_k46</v>
      </c>
      <c r="S41" t="s">
        <v>240</v>
      </c>
      <c r="T41" t="str">
        <f t="shared" si="7"/>
        <v>020313</v>
      </c>
      <c r="U41" t="str">
        <f t="shared" si="8"/>
        <v>Nguyễn Văn Phong</v>
      </c>
      <c r="V41">
        <f t="shared" si="9"/>
        <v>1</v>
      </c>
    </row>
    <row r="42" spans="1:22" x14ac:dyDescent="0.35">
      <c r="A42">
        <v>41</v>
      </c>
      <c r="B42" t="s">
        <v>158</v>
      </c>
      <c r="C42" t="s">
        <v>159</v>
      </c>
      <c r="D42" t="s">
        <v>160</v>
      </c>
      <c r="E42" t="s">
        <v>161</v>
      </c>
      <c r="F42" t="s">
        <v>10</v>
      </c>
      <c r="H42">
        <v>0</v>
      </c>
      <c r="I42">
        <f t="shared" si="0"/>
        <v>7</v>
      </c>
      <c r="J42">
        <f t="shared" si="0"/>
        <v>12</v>
      </c>
      <c r="K42">
        <f t="shared" si="0"/>
        <v>15</v>
      </c>
      <c r="L42">
        <f t="shared" si="0"/>
        <v>15</v>
      </c>
      <c r="M42" t="str">
        <f t="shared" si="1"/>
        <v>N</v>
      </c>
      <c r="N42" t="str">
        <f t="shared" si="2"/>
        <v>T</v>
      </c>
      <c r="O42" t="str">
        <f t="shared" si="3"/>
        <v>B</v>
      </c>
      <c r="P42" t="str">
        <f t="shared" si="4"/>
        <v/>
      </c>
      <c r="Q42" t="str">
        <f t="shared" si="5"/>
        <v>NTB</v>
      </c>
      <c r="R42" t="str">
        <f t="shared" si="6"/>
        <v>phúcntb_k46</v>
      </c>
      <c r="S42" t="s">
        <v>274</v>
      </c>
      <c r="T42" t="str">
        <f t="shared" si="7"/>
        <v>020327</v>
      </c>
      <c r="U42" t="str">
        <f t="shared" si="8"/>
        <v>Nguyễn Tống Bảo Phúc</v>
      </c>
      <c r="V42">
        <f t="shared" si="9"/>
        <v>1</v>
      </c>
    </row>
    <row r="43" spans="1:22" x14ac:dyDescent="0.35">
      <c r="A43">
        <v>42</v>
      </c>
      <c r="B43" t="s">
        <v>162</v>
      </c>
      <c r="C43" t="s">
        <v>163</v>
      </c>
      <c r="D43" t="s">
        <v>164</v>
      </c>
      <c r="E43" t="s">
        <v>165</v>
      </c>
      <c r="F43" t="s">
        <v>10</v>
      </c>
      <c r="H43">
        <v>0</v>
      </c>
      <c r="I43">
        <f t="shared" si="0"/>
        <v>3</v>
      </c>
      <c r="J43">
        <f t="shared" si="0"/>
        <v>7</v>
      </c>
      <c r="K43">
        <f t="shared" si="0"/>
        <v>7</v>
      </c>
      <c r="L43">
        <f t="shared" si="0"/>
        <v>7</v>
      </c>
      <c r="M43" t="str">
        <f t="shared" si="1"/>
        <v>L</v>
      </c>
      <c r="N43" t="str">
        <f t="shared" si="2"/>
        <v>T</v>
      </c>
      <c r="O43" t="str">
        <f t="shared" si="3"/>
        <v/>
      </c>
      <c r="P43" t="str">
        <f t="shared" si="4"/>
        <v/>
      </c>
      <c r="Q43" t="str">
        <f t="shared" si="5"/>
        <v>LT</v>
      </c>
      <c r="R43" t="str">
        <f t="shared" si="6"/>
        <v>phướclt_k46</v>
      </c>
      <c r="S43" t="s">
        <v>275</v>
      </c>
      <c r="T43" t="str">
        <f t="shared" si="7"/>
        <v>020330</v>
      </c>
      <c r="U43" t="str">
        <f t="shared" si="8"/>
        <v>Lê Tăng Phước</v>
      </c>
      <c r="V43">
        <f t="shared" si="9"/>
        <v>1</v>
      </c>
    </row>
    <row r="44" spans="1:22" x14ac:dyDescent="0.35">
      <c r="A44">
        <v>43</v>
      </c>
      <c r="B44" t="s">
        <v>166</v>
      </c>
      <c r="C44" t="s">
        <v>167</v>
      </c>
      <c r="D44" t="s">
        <v>168</v>
      </c>
      <c r="E44" t="s">
        <v>169</v>
      </c>
      <c r="F44" t="s">
        <v>10</v>
      </c>
      <c r="H44">
        <v>0</v>
      </c>
      <c r="I44">
        <f t="shared" si="0"/>
        <v>7</v>
      </c>
      <c r="J44">
        <f t="shared" si="0"/>
        <v>11</v>
      </c>
      <c r="K44">
        <f t="shared" si="0"/>
        <v>15</v>
      </c>
      <c r="L44">
        <f t="shared" si="0"/>
        <v>15</v>
      </c>
      <c r="M44" t="str">
        <f t="shared" si="1"/>
        <v>N</v>
      </c>
      <c r="N44" t="str">
        <f t="shared" si="2"/>
        <v>V</v>
      </c>
      <c r="O44" t="str">
        <f t="shared" si="3"/>
        <v>N</v>
      </c>
      <c r="P44" t="str">
        <f t="shared" si="4"/>
        <v/>
      </c>
      <c r="Q44" t="str">
        <f t="shared" si="5"/>
        <v>NVN</v>
      </c>
      <c r="R44" t="str">
        <f t="shared" si="6"/>
        <v>quangnvn_k46</v>
      </c>
      <c r="S44" t="s">
        <v>241</v>
      </c>
      <c r="T44" t="str">
        <f t="shared" si="7"/>
        <v>020366</v>
      </c>
      <c r="U44" t="str">
        <f t="shared" si="8"/>
        <v>Nguyễn Văn Nhật Quang</v>
      </c>
      <c r="V44">
        <f t="shared" si="9"/>
        <v>1</v>
      </c>
    </row>
    <row r="45" spans="1:22" x14ac:dyDescent="0.35">
      <c r="A45">
        <v>44</v>
      </c>
      <c r="B45" t="s">
        <v>170</v>
      </c>
      <c r="C45" t="s">
        <v>171</v>
      </c>
      <c r="D45" t="s">
        <v>172</v>
      </c>
      <c r="E45" t="s">
        <v>107</v>
      </c>
      <c r="F45" t="s">
        <v>10</v>
      </c>
      <c r="H45">
        <v>0</v>
      </c>
      <c r="I45">
        <f t="shared" si="0"/>
        <v>6</v>
      </c>
      <c r="J45">
        <f t="shared" si="0"/>
        <v>9</v>
      </c>
      <c r="K45">
        <f t="shared" si="0"/>
        <v>9</v>
      </c>
      <c r="L45">
        <f t="shared" si="0"/>
        <v>9</v>
      </c>
      <c r="M45" t="str">
        <f t="shared" si="1"/>
        <v>H</v>
      </c>
      <c r="N45" t="str">
        <f t="shared" si="2"/>
        <v>A</v>
      </c>
      <c r="O45" t="str">
        <f t="shared" si="3"/>
        <v/>
      </c>
      <c r="P45" t="str">
        <f t="shared" si="4"/>
        <v/>
      </c>
      <c r="Q45" t="str">
        <f t="shared" si="5"/>
        <v>HA</v>
      </c>
      <c r="R45" t="str">
        <f t="shared" si="6"/>
        <v>quânha_k46</v>
      </c>
      <c r="S45" t="s">
        <v>276</v>
      </c>
      <c r="T45" t="str">
        <f t="shared" si="7"/>
        <v>020354</v>
      </c>
      <c r="U45" t="str">
        <f t="shared" si="8"/>
        <v>Hoàng Anh Quân</v>
      </c>
      <c r="V45">
        <f t="shared" si="9"/>
        <v>1</v>
      </c>
    </row>
    <row r="46" spans="1:22" x14ac:dyDescent="0.35">
      <c r="A46">
        <v>45</v>
      </c>
      <c r="B46" t="s">
        <v>173</v>
      </c>
      <c r="C46" t="s">
        <v>174</v>
      </c>
      <c r="D46" t="s">
        <v>175</v>
      </c>
      <c r="E46" t="s">
        <v>176</v>
      </c>
      <c r="F46" t="s">
        <v>10</v>
      </c>
      <c r="H46">
        <v>0</v>
      </c>
      <c r="I46">
        <f t="shared" si="0"/>
        <v>4</v>
      </c>
      <c r="J46">
        <f t="shared" si="0"/>
        <v>9</v>
      </c>
      <c r="K46">
        <f t="shared" si="0"/>
        <v>9</v>
      </c>
      <c r="L46">
        <f t="shared" si="0"/>
        <v>9</v>
      </c>
      <c r="M46" t="str">
        <f t="shared" si="1"/>
        <v>B</v>
      </c>
      <c r="N46" t="str">
        <f t="shared" si="2"/>
        <v>Q</v>
      </c>
      <c r="O46" t="str">
        <f t="shared" si="3"/>
        <v/>
      </c>
      <c r="P46" t="str">
        <f t="shared" si="4"/>
        <v/>
      </c>
      <c r="Q46" t="str">
        <f t="shared" si="5"/>
        <v>BQ</v>
      </c>
      <c r="R46" t="str">
        <f t="shared" si="6"/>
        <v>quýbq_k46</v>
      </c>
      <c r="S46" t="s">
        <v>277</v>
      </c>
      <c r="T46" t="str">
        <f t="shared" si="7"/>
        <v>020720</v>
      </c>
      <c r="U46" t="str">
        <f t="shared" si="8"/>
        <v>Bùi Quang Quý</v>
      </c>
      <c r="V46">
        <f t="shared" si="9"/>
        <v>1</v>
      </c>
    </row>
    <row r="47" spans="1:22" x14ac:dyDescent="0.35">
      <c r="A47">
        <v>46</v>
      </c>
      <c r="B47" t="s">
        <v>177</v>
      </c>
      <c r="C47" t="s">
        <v>178</v>
      </c>
      <c r="D47" t="s">
        <v>179</v>
      </c>
      <c r="E47" t="s">
        <v>180</v>
      </c>
      <c r="F47" t="s">
        <v>10</v>
      </c>
      <c r="H47">
        <v>0</v>
      </c>
      <c r="I47">
        <f t="shared" si="0"/>
        <v>6</v>
      </c>
      <c r="J47">
        <f t="shared" si="0"/>
        <v>9</v>
      </c>
      <c r="K47">
        <f t="shared" si="0"/>
        <v>9</v>
      </c>
      <c r="L47">
        <f t="shared" si="0"/>
        <v>9</v>
      </c>
      <c r="M47" t="str">
        <f t="shared" si="1"/>
        <v>H</v>
      </c>
      <c r="N47" t="str">
        <f t="shared" si="2"/>
        <v>T</v>
      </c>
      <c r="O47" t="str">
        <f t="shared" si="3"/>
        <v/>
      </c>
      <c r="P47" t="str">
        <f t="shared" si="4"/>
        <v/>
      </c>
      <c r="Q47" t="str">
        <f t="shared" si="5"/>
        <v>HT</v>
      </c>
      <c r="R47" t="str">
        <f t="shared" si="6"/>
        <v>sanght_k46</v>
      </c>
      <c r="S47" t="s">
        <v>242</v>
      </c>
      <c r="T47" t="str">
        <f t="shared" si="7"/>
        <v>020729</v>
      </c>
      <c r="U47" t="str">
        <f t="shared" si="8"/>
        <v>Huỳnh Tấn Sang</v>
      </c>
      <c r="V47">
        <f t="shared" si="9"/>
        <v>1</v>
      </c>
    </row>
    <row r="48" spans="1:22" x14ac:dyDescent="0.35">
      <c r="A48">
        <v>47</v>
      </c>
      <c r="B48" t="s">
        <v>181</v>
      </c>
      <c r="C48" t="s">
        <v>167</v>
      </c>
      <c r="D48" t="s">
        <v>182</v>
      </c>
      <c r="E48" t="s">
        <v>183</v>
      </c>
      <c r="F48" t="s">
        <v>10</v>
      </c>
      <c r="H48">
        <v>0</v>
      </c>
      <c r="I48">
        <f t="shared" si="0"/>
        <v>7</v>
      </c>
      <c r="J48">
        <f t="shared" si="0"/>
        <v>11</v>
      </c>
      <c r="K48">
        <f t="shared" si="0"/>
        <v>15</v>
      </c>
      <c r="L48">
        <f t="shared" si="0"/>
        <v>15</v>
      </c>
      <c r="M48" t="str">
        <f t="shared" si="1"/>
        <v>N</v>
      </c>
      <c r="N48" t="str">
        <f t="shared" si="2"/>
        <v>V</v>
      </c>
      <c r="O48" t="str">
        <f t="shared" si="3"/>
        <v>N</v>
      </c>
      <c r="P48" t="str">
        <f t="shared" si="4"/>
        <v/>
      </c>
      <c r="Q48" t="str">
        <f t="shared" si="5"/>
        <v>NVN</v>
      </c>
      <c r="R48" t="str">
        <f t="shared" si="6"/>
        <v>tânnvn_k46</v>
      </c>
      <c r="S48" t="s">
        <v>278</v>
      </c>
      <c r="T48" t="str">
        <f t="shared" si="7"/>
        <v>020410</v>
      </c>
      <c r="U48" t="str">
        <f t="shared" si="8"/>
        <v>Nguyễn Văn Nhật Tân</v>
      </c>
      <c r="V48">
        <f t="shared" si="9"/>
        <v>1</v>
      </c>
    </row>
    <row r="49" spans="1:22" x14ac:dyDescent="0.35">
      <c r="A49">
        <v>48</v>
      </c>
      <c r="B49" t="s">
        <v>184</v>
      </c>
      <c r="C49" t="s">
        <v>135</v>
      </c>
      <c r="D49" t="s">
        <v>185</v>
      </c>
      <c r="E49" t="s">
        <v>186</v>
      </c>
      <c r="F49" t="s">
        <v>10</v>
      </c>
      <c r="H49">
        <v>0</v>
      </c>
      <c r="I49">
        <f t="shared" si="0"/>
        <v>7</v>
      </c>
      <c r="J49">
        <f t="shared" si="0"/>
        <v>11</v>
      </c>
      <c r="K49">
        <f t="shared" si="0"/>
        <v>11</v>
      </c>
      <c r="L49">
        <f t="shared" si="0"/>
        <v>11</v>
      </c>
      <c r="M49" t="str">
        <f t="shared" si="1"/>
        <v>N</v>
      </c>
      <c r="N49" t="str">
        <f t="shared" si="2"/>
        <v>C</v>
      </c>
      <c r="O49" t="str">
        <f t="shared" si="3"/>
        <v/>
      </c>
      <c r="P49" t="str">
        <f t="shared" si="4"/>
        <v/>
      </c>
      <c r="Q49" t="str">
        <f t="shared" si="5"/>
        <v>NC</v>
      </c>
      <c r="R49" t="str">
        <f t="shared" si="6"/>
        <v>thànhnc_k46</v>
      </c>
      <c r="S49" t="s">
        <v>279</v>
      </c>
      <c r="T49" t="str">
        <f t="shared" si="7"/>
        <v>020746</v>
      </c>
      <c r="U49" t="str">
        <f t="shared" si="8"/>
        <v>Nguyễn Công Thành</v>
      </c>
      <c r="V49">
        <f t="shared" si="9"/>
        <v>1</v>
      </c>
    </row>
    <row r="50" spans="1:22" x14ac:dyDescent="0.35">
      <c r="A50">
        <v>49</v>
      </c>
      <c r="B50" t="s">
        <v>187</v>
      </c>
      <c r="C50" t="s">
        <v>188</v>
      </c>
      <c r="D50" t="s">
        <v>189</v>
      </c>
      <c r="E50" t="s">
        <v>190</v>
      </c>
      <c r="F50" t="s">
        <v>10</v>
      </c>
      <c r="H50">
        <v>0</v>
      </c>
      <c r="I50">
        <f t="shared" si="0"/>
        <v>6</v>
      </c>
      <c r="J50">
        <f t="shared" si="0"/>
        <v>9</v>
      </c>
      <c r="K50">
        <f t="shared" si="0"/>
        <v>9</v>
      </c>
      <c r="L50">
        <f t="shared" si="0"/>
        <v>9</v>
      </c>
      <c r="M50" t="str">
        <f t="shared" si="1"/>
        <v>H</v>
      </c>
      <c r="N50" t="str">
        <f t="shared" si="2"/>
        <v>T</v>
      </c>
      <c r="O50" t="str">
        <f t="shared" si="3"/>
        <v/>
      </c>
      <c r="P50" t="str">
        <f t="shared" si="4"/>
        <v/>
      </c>
      <c r="Q50" t="str">
        <f t="shared" si="5"/>
        <v>HT</v>
      </c>
      <c r="R50" t="str">
        <f t="shared" si="6"/>
        <v>thủyht_k46</v>
      </c>
      <c r="S50" t="s">
        <v>280</v>
      </c>
      <c r="T50" t="str">
        <f t="shared" si="7"/>
        <v>020758</v>
      </c>
      <c r="U50" t="str">
        <f t="shared" si="8"/>
        <v>Huỳnh Thị Thủy</v>
      </c>
      <c r="V50">
        <f t="shared" si="9"/>
        <v>1</v>
      </c>
    </row>
    <row r="51" spans="1:22" x14ac:dyDescent="0.35">
      <c r="A51">
        <v>50</v>
      </c>
      <c r="B51" t="s">
        <v>191</v>
      </c>
      <c r="C51" t="s">
        <v>192</v>
      </c>
      <c r="D51" t="s">
        <v>193</v>
      </c>
      <c r="E51" t="s">
        <v>194</v>
      </c>
      <c r="F51" t="s">
        <v>100</v>
      </c>
      <c r="H51">
        <v>0</v>
      </c>
      <c r="I51">
        <f t="shared" si="0"/>
        <v>3</v>
      </c>
      <c r="J51">
        <f t="shared" si="0"/>
        <v>7</v>
      </c>
      <c r="K51">
        <f t="shared" si="0"/>
        <v>7</v>
      </c>
      <c r="L51">
        <f t="shared" si="0"/>
        <v>7</v>
      </c>
      <c r="M51" t="str">
        <f t="shared" si="1"/>
        <v>L</v>
      </c>
      <c r="N51" t="str">
        <f t="shared" si="2"/>
        <v>K</v>
      </c>
      <c r="O51" t="str">
        <f t="shared" si="3"/>
        <v/>
      </c>
      <c r="P51" t="str">
        <f t="shared" si="4"/>
        <v/>
      </c>
      <c r="Q51" t="str">
        <f t="shared" si="5"/>
        <v>LK</v>
      </c>
      <c r="R51" t="str">
        <f t="shared" si="6"/>
        <v>thứclk_k45</v>
      </c>
      <c r="S51" t="s">
        <v>281</v>
      </c>
      <c r="T51" t="str">
        <f t="shared" si="7"/>
        <v>020733</v>
      </c>
      <c r="U51" t="str">
        <f t="shared" si="8"/>
        <v>Lê Khắc Thức</v>
      </c>
      <c r="V51">
        <f t="shared" si="9"/>
        <v>1</v>
      </c>
    </row>
    <row r="52" spans="1:22" x14ac:dyDescent="0.35">
      <c r="A52">
        <v>51</v>
      </c>
      <c r="B52" t="s">
        <v>195</v>
      </c>
      <c r="C52" t="s">
        <v>196</v>
      </c>
      <c r="D52" t="s">
        <v>197</v>
      </c>
      <c r="E52" t="s">
        <v>198</v>
      </c>
      <c r="F52" t="s">
        <v>10</v>
      </c>
      <c r="H52">
        <v>0</v>
      </c>
      <c r="I52">
        <f t="shared" si="0"/>
        <v>7</v>
      </c>
      <c r="J52">
        <f t="shared" si="0"/>
        <v>13</v>
      </c>
      <c r="K52">
        <f t="shared" si="0"/>
        <v>17</v>
      </c>
      <c r="L52">
        <f t="shared" si="0"/>
        <v>17</v>
      </c>
      <c r="M52" t="str">
        <f t="shared" si="1"/>
        <v>N</v>
      </c>
      <c r="N52" t="str">
        <f t="shared" si="2"/>
        <v>H</v>
      </c>
      <c r="O52" t="str">
        <f t="shared" si="3"/>
        <v>M</v>
      </c>
      <c r="P52" t="str">
        <f t="shared" si="4"/>
        <v/>
      </c>
      <c r="Q52" t="str">
        <f t="shared" si="5"/>
        <v>NHM</v>
      </c>
      <c r="R52" t="str">
        <f t="shared" si="6"/>
        <v>tiếnnhm_k46</v>
      </c>
      <c r="S52" t="s">
        <v>282</v>
      </c>
      <c r="T52" t="str">
        <f t="shared" si="7"/>
        <v>020761</v>
      </c>
      <c r="U52" t="str">
        <f t="shared" si="8"/>
        <v>Nguyễn Huỳnh Minh Tiến</v>
      </c>
      <c r="V52">
        <f t="shared" si="9"/>
        <v>1</v>
      </c>
    </row>
    <row r="53" spans="1:22" x14ac:dyDescent="0.35">
      <c r="A53">
        <v>52</v>
      </c>
      <c r="B53" t="s">
        <v>199</v>
      </c>
      <c r="C53" t="s">
        <v>200</v>
      </c>
      <c r="D53" t="s">
        <v>201</v>
      </c>
      <c r="E53" t="s">
        <v>202</v>
      </c>
      <c r="F53" t="s">
        <v>10</v>
      </c>
      <c r="H53">
        <v>0</v>
      </c>
      <c r="I53">
        <f t="shared" si="0"/>
        <v>4</v>
      </c>
      <c r="J53">
        <f t="shared" si="0"/>
        <v>8</v>
      </c>
      <c r="K53">
        <f t="shared" si="0"/>
        <v>8</v>
      </c>
      <c r="L53">
        <f t="shared" si="0"/>
        <v>8</v>
      </c>
      <c r="M53" t="str">
        <f t="shared" si="1"/>
        <v>H</v>
      </c>
      <c r="N53" t="str">
        <f t="shared" si="2"/>
        <v>B</v>
      </c>
      <c r="O53" t="str">
        <f t="shared" si="3"/>
        <v/>
      </c>
      <c r="P53" t="str">
        <f t="shared" si="4"/>
        <v/>
      </c>
      <c r="Q53" t="str">
        <f t="shared" si="5"/>
        <v>HB</v>
      </c>
      <c r="R53" t="str">
        <f t="shared" si="6"/>
        <v>toànhb_k46</v>
      </c>
      <c r="S53" t="s">
        <v>243</v>
      </c>
      <c r="T53" t="str">
        <f t="shared" si="7"/>
        <v>020767</v>
      </c>
      <c r="U53" t="str">
        <f t="shared" si="8"/>
        <v>Hồ Bảo Toàn</v>
      </c>
      <c r="V53">
        <f t="shared" si="9"/>
        <v>1</v>
      </c>
    </row>
    <row r="54" spans="1:22" x14ac:dyDescent="0.35">
      <c r="A54">
        <v>53</v>
      </c>
      <c r="B54" t="s">
        <v>203</v>
      </c>
      <c r="C54" t="s">
        <v>204</v>
      </c>
      <c r="D54" t="s">
        <v>205</v>
      </c>
      <c r="E54" t="s">
        <v>206</v>
      </c>
      <c r="F54" t="s">
        <v>10</v>
      </c>
      <c r="H54">
        <v>0</v>
      </c>
      <c r="I54">
        <f t="shared" si="0"/>
        <v>7</v>
      </c>
      <c r="J54">
        <f t="shared" si="0"/>
        <v>11</v>
      </c>
      <c r="K54">
        <f t="shared" si="0"/>
        <v>16</v>
      </c>
      <c r="L54">
        <f t="shared" si="0"/>
        <v>16</v>
      </c>
      <c r="M54" t="str">
        <f t="shared" si="1"/>
        <v>N</v>
      </c>
      <c r="N54" t="str">
        <f t="shared" si="2"/>
        <v>T</v>
      </c>
      <c r="O54" t="str">
        <f t="shared" si="3"/>
        <v>H</v>
      </c>
      <c r="P54" t="str">
        <f t="shared" si="4"/>
        <v/>
      </c>
      <c r="Q54" t="str">
        <f t="shared" si="5"/>
        <v>NTH</v>
      </c>
      <c r="R54" t="str">
        <f t="shared" si="6"/>
        <v>trânnth_k46</v>
      </c>
      <c r="S54" t="s">
        <v>283</v>
      </c>
      <c r="T54" t="str">
        <f t="shared" si="7"/>
        <v>020475</v>
      </c>
      <c r="U54" t="str">
        <f t="shared" si="8"/>
        <v>Nguyễn Thị Huyền Trân</v>
      </c>
      <c r="V54">
        <f t="shared" si="9"/>
        <v>1</v>
      </c>
    </row>
    <row r="55" spans="1:22" x14ac:dyDescent="0.35">
      <c r="A55">
        <v>54</v>
      </c>
      <c r="B55" t="s">
        <v>207</v>
      </c>
      <c r="C55" t="s">
        <v>208</v>
      </c>
      <c r="D55" t="s">
        <v>209</v>
      </c>
      <c r="E55" t="s">
        <v>210</v>
      </c>
      <c r="F55" t="s">
        <v>10</v>
      </c>
      <c r="H55">
        <v>0</v>
      </c>
      <c r="I55">
        <f t="shared" si="0"/>
        <v>5</v>
      </c>
      <c r="J55">
        <f t="shared" si="0"/>
        <v>8</v>
      </c>
      <c r="K55">
        <f t="shared" si="0"/>
        <v>8</v>
      </c>
      <c r="L55">
        <f t="shared" si="0"/>
        <v>8</v>
      </c>
      <c r="M55" t="str">
        <f t="shared" si="1"/>
        <v>Đ</v>
      </c>
      <c r="N55" t="str">
        <f t="shared" si="2"/>
        <v>H</v>
      </c>
      <c r="O55" t="str">
        <f t="shared" si="3"/>
        <v/>
      </c>
      <c r="P55" t="str">
        <f t="shared" si="4"/>
        <v/>
      </c>
      <c r="Q55" t="str">
        <f t="shared" si="5"/>
        <v>ĐH</v>
      </c>
      <c r="R55" t="str">
        <f t="shared" si="6"/>
        <v>trungđh_k46</v>
      </c>
      <c r="S55" t="s">
        <v>284</v>
      </c>
      <c r="T55" t="str">
        <f t="shared" si="7"/>
        <v>020484</v>
      </c>
      <c r="U55" t="str">
        <f t="shared" si="8"/>
        <v>Đặng Hữu Trung</v>
      </c>
      <c r="V55">
        <f t="shared" si="9"/>
        <v>1</v>
      </c>
    </row>
    <row r="56" spans="1:22" x14ac:dyDescent="0.35">
      <c r="A56">
        <v>55</v>
      </c>
      <c r="B56" t="s">
        <v>211</v>
      </c>
      <c r="C56" t="s">
        <v>212</v>
      </c>
      <c r="D56" t="s">
        <v>209</v>
      </c>
      <c r="E56" t="s">
        <v>213</v>
      </c>
      <c r="F56" t="s">
        <v>10</v>
      </c>
      <c r="H56">
        <v>0</v>
      </c>
      <c r="I56">
        <f t="shared" si="0"/>
        <v>5</v>
      </c>
      <c r="J56">
        <f t="shared" si="0"/>
        <v>10</v>
      </c>
      <c r="K56">
        <f t="shared" si="0"/>
        <v>10</v>
      </c>
      <c r="L56">
        <f t="shared" si="0"/>
        <v>10</v>
      </c>
      <c r="M56" t="str">
        <f t="shared" si="1"/>
        <v>Đ</v>
      </c>
      <c r="N56" t="str">
        <f t="shared" si="2"/>
        <v>H</v>
      </c>
      <c r="O56" t="str">
        <f t="shared" si="3"/>
        <v/>
      </c>
      <c r="P56" t="str">
        <f t="shared" si="4"/>
        <v/>
      </c>
      <c r="Q56" t="str">
        <f t="shared" si="5"/>
        <v>ĐH</v>
      </c>
      <c r="R56" t="str">
        <f t="shared" si="6"/>
        <v>trungđh_k46</v>
      </c>
      <c r="S56" t="s">
        <v>290</v>
      </c>
      <c r="T56" t="str">
        <f t="shared" si="7"/>
        <v>020486</v>
      </c>
      <c r="U56" t="str">
        <f t="shared" si="8"/>
        <v>Đinh Hoàng Trung</v>
      </c>
      <c r="V56">
        <f t="shared" si="9"/>
        <v>1</v>
      </c>
    </row>
    <row r="57" spans="1:22" x14ac:dyDescent="0.35">
      <c r="A57">
        <v>56</v>
      </c>
      <c r="B57" t="s">
        <v>214</v>
      </c>
      <c r="C57" t="s">
        <v>215</v>
      </c>
      <c r="D57" t="s">
        <v>216</v>
      </c>
      <c r="E57" t="s">
        <v>217</v>
      </c>
      <c r="F57" t="s">
        <v>10</v>
      </c>
      <c r="H57">
        <v>0</v>
      </c>
      <c r="I57">
        <f t="shared" si="0"/>
        <v>7</v>
      </c>
      <c r="J57">
        <f t="shared" si="0"/>
        <v>11</v>
      </c>
      <c r="K57">
        <f t="shared" si="0"/>
        <v>11</v>
      </c>
      <c r="L57">
        <f t="shared" si="0"/>
        <v>11</v>
      </c>
      <c r="M57" t="str">
        <f t="shared" si="1"/>
        <v>N</v>
      </c>
      <c r="N57" t="str">
        <f t="shared" si="2"/>
        <v>Đ</v>
      </c>
      <c r="O57" t="str">
        <f t="shared" si="3"/>
        <v/>
      </c>
      <c r="P57" t="str">
        <f t="shared" si="4"/>
        <v/>
      </c>
      <c r="Q57" t="str">
        <f t="shared" si="5"/>
        <v>NĐ</v>
      </c>
      <c r="R57" t="str">
        <f t="shared" si="6"/>
        <v>tuấnnđ_k46</v>
      </c>
      <c r="S57" t="s">
        <v>285</v>
      </c>
      <c r="T57" t="str">
        <f t="shared" si="7"/>
        <v>020494</v>
      </c>
      <c r="U57" t="str">
        <f t="shared" si="8"/>
        <v>Nguyễn Đình Tuấn</v>
      </c>
      <c r="V57">
        <f t="shared" si="9"/>
        <v>1</v>
      </c>
    </row>
    <row r="58" spans="1:22" x14ac:dyDescent="0.35">
      <c r="A58">
        <v>57</v>
      </c>
      <c r="B58" t="s">
        <v>218</v>
      </c>
      <c r="C58" t="s">
        <v>219</v>
      </c>
      <c r="D58" t="s">
        <v>216</v>
      </c>
      <c r="E58" t="s">
        <v>220</v>
      </c>
      <c r="F58" t="s">
        <v>10</v>
      </c>
      <c r="H58">
        <v>0</v>
      </c>
      <c r="I58">
        <f t="shared" si="0"/>
        <v>7</v>
      </c>
      <c r="J58">
        <f t="shared" si="0"/>
        <v>10</v>
      </c>
      <c r="K58">
        <f t="shared" si="0"/>
        <v>10</v>
      </c>
      <c r="L58">
        <f t="shared" si="0"/>
        <v>10</v>
      </c>
      <c r="M58" t="str">
        <f t="shared" si="1"/>
        <v>N</v>
      </c>
      <c r="N58" t="str">
        <f t="shared" si="2"/>
        <v>P</v>
      </c>
      <c r="O58" t="str">
        <f t="shared" si="3"/>
        <v/>
      </c>
      <c r="P58" t="str">
        <f t="shared" si="4"/>
        <v/>
      </c>
      <c r="Q58" t="str">
        <f t="shared" si="5"/>
        <v>NP</v>
      </c>
      <c r="R58" t="str">
        <f t="shared" si="6"/>
        <v>tuấnnp_k46</v>
      </c>
      <c r="S58" t="s">
        <v>286</v>
      </c>
      <c r="T58" t="str">
        <f t="shared" si="7"/>
        <v>020497</v>
      </c>
      <c r="U58" t="str">
        <f t="shared" si="8"/>
        <v>Nguyễn Phú Tuấn</v>
      </c>
      <c r="V58">
        <f t="shared" si="9"/>
        <v>1</v>
      </c>
    </row>
    <row r="59" spans="1:22" x14ac:dyDescent="0.35">
      <c r="A59">
        <v>58</v>
      </c>
      <c r="B59" t="s">
        <v>221</v>
      </c>
      <c r="C59" t="s">
        <v>222</v>
      </c>
      <c r="D59" t="s">
        <v>216</v>
      </c>
      <c r="E59" t="s">
        <v>223</v>
      </c>
      <c r="F59" t="s">
        <v>10</v>
      </c>
      <c r="H59">
        <v>0</v>
      </c>
      <c r="I59">
        <f t="shared" si="0"/>
        <v>5</v>
      </c>
      <c r="J59">
        <f t="shared" si="0"/>
        <v>8</v>
      </c>
      <c r="K59">
        <f t="shared" si="0"/>
        <v>8</v>
      </c>
      <c r="L59">
        <f t="shared" si="0"/>
        <v>8</v>
      </c>
      <c r="M59" t="str">
        <f t="shared" si="1"/>
        <v>P</v>
      </c>
      <c r="N59" t="str">
        <f t="shared" si="2"/>
        <v>A</v>
      </c>
      <c r="O59" t="str">
        <f t="shared" si="3"/>
        <v/>
      </c>
      <c r="P59" t="str">
        <f t="shared" si="4"/>
        <v/>
      </c>
      <c r="Q59" t="str">
        <f t="shared" si="5"/>
        <v>PA</v>
      </c>
      <c r="R59" t="str">
        <f t="shared" si="6"/>
        <v>tuấnpa_k46</v>
      </c>
      <c r="S59" t="s">
        <v>287</v>
      </c>
      <c r="T59" t="str">
        <f t="shared" si="7"/>
        <v>020499</v>
      </c>
      <c r="U59" t="str">
        <f t="shared" si="8"/>
        <v>Phạm Anh Tuấn</v>
      </c>
      <c r="V59">
        <f t="shared" si="9"/>
        <v>1</v>
      </c>
    </row>
    <row r="60" spans="1:22" x14ac:dyDescent="0.35">
      <c r="A60">
        <v>59</v>
      </c>
      <c r="B60" t="s">
        <v>224</v>
      </c>
      <c r="C60" t="s">
        <v>225</v>
      </c>
      <c r="D60" t="s">
        <v>226</v>
      </c>
      <c r="E60" t="s">
        <v>227</v>
      </c>
      <c r="F60" t="s">
        <v>10</v>
      </c>
      <c r="H60">
        <v>0</v>
      </c>
      <c r="I60">
        <f t="shared" si="0"/>
        <v>5</v>
      </c>
      <c r="J60">
        <f t="shared" si="0"/>
        <v>8</v>
      </c>
      <c r="K60">
        <f t="shared" si="0"/>
        <v>8</v>
      </c>
      <c r="L60">
        <f t="shared" si="0"/>
        <v>8</v>
      </c>
      <c r="M60" t="str">
        <f t="shared" si="1"/>
        <v>P</v>
      </c>
      <c r="N60" t="str">
        <f t="shared" si="2"/>
        <v>V</v>
      </c>
      <c r="O60" t="str">
        <f t="shared" si="3"/>
        <v/>
      </c>
      <c r="P60" t="str">
        <f t="shared" si="4"/>
        <v/>
      </c>
      <c r="Q60" t="str">
        <f t="shared" si="5"/>
        <v>PV</v>
      </c>
      <c r="R60" t="str">
        <f t="shared" si="6"/>
        <v>việtpv_k46</v>
      </c>
      <c r="S60" t="s">
        <v>288</v>
      </c>
      <c r="T60" t="str">
        <f t="shared" si="7"/>
        <v>020517</v>
      </c>
      <c r="U60" t="str">
        <f t="shared" si="8"/>
        <v>Phan Văn Việt</v>
      </c>
      <c r="V60">
        <f t="shared" si="9"/>
        <v>1</v>
      </c>
    </row>
    <row r="61" spans="1:22" x14ac:dyDescent="0.35">
      <c r="A61">
        <v>60</v>
      </c>
      <c r="B61" t="s">
        <v>228</v>
      </c>
      <c r="C61" t="s">
        <v>113</v>
      </c>
      <c r="D61" t="s">
        <v>229</v>
      </c>
      <c r="E61" t="s">
        <v>230</v>
      </c>
      <c r="F61" t="s">
        <v>10</v>
      </c>
      <c r="H61">
        <v>0</v>
      </c>
      <c r="I61">
        <f t="shared" si="0"/>
        <v>7</v>
      </c>
      <c r="J61">
        <f t="shared" si="0"/>
        <v>11</v>
      </c>
      <c r="K61">
        <f t="shared" si="0"/>
        <v>15</v>
      </c>
      <c r="L61">
        <f t="shared" si="0"/>
        <v>15</v>
      </c>
      <c r="M61" t="str">
        <f t="shared" si="1"/>
        <v>N</v>
      </c>
      <c r="N61" t="str">
        <f t="shared" si="2"/>
        <v>T</v>
      </c>
      <c r="O61" t="str">
        <f t="shared" si="3"/>
        <v>N</v>
      </c>
      <c r="P61" t="str">
        <f t="shared" si="4"/>
        <v/>
      </c>
      <c r="Q61" t="str">
        <f t="shared" si="5"/>
        <v>NTN</v>
      </c>
      <c r="R61" t="str">
        <f t="shared" si="6"/>
        <v>ýntn_k46</v>
      </c>
      <c r="S61" t="s">
        <v>289</v>
      </c>
      <c r="T61" t="str">
        <f t="shared" si="7"/>
        <v>020534</v>
      </c>
      <c r="U61" t="str">
        <f t="shared" si="8"/>
        <v>Nguyễn Thị Ngọc Ý</v>
      </c>
      <c r="V61">
        <f t="shared" si="9"/>
        <v>1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topLeftCell="A34" workbookViewId="0">
      <selection activeCell="A39" sqref="A39"/>
    </sheetView>
  </sheetViews>
  <sheetFormatPr defaultRowHeight="14.5" x14ac:dyDescent="0.35"/>
  <sheetData>
    <row r="1" spans="1:3" x14ac:dyDescent="0.35">
      <c r="A1" t="s">
        <v>291</v>
      </c>
      <c r="B1" t="s">
        <v>292</v>
      </c>
      <c r="C1" t="s">
        <v>293</v>
      </c>
    </row>
    <row r="2" spans="1:3" x14ac:dyDescent="0.35">
      <c r="A2" t="s">
        <v>244</v>
      </c>
      <c r="B2" s="1" t="s">
        <v>294</v>
      </c>
      <c r="C2" t="s">
        <v>295</v>
      </c>
    </row>
    <row r="3" spans="1:3" x14ac:dyDescent="0.35">
      <c r="A3" t="s">
        <v>245</v>
      </c>
      <c r="B3" s="1" t="s">
        <v>296</v>
      </c>
      <c r="C3" t="s">
        <v>297</v>
      </c>
    </row>
    <row r="4" spans="1:3" x14ac:dyDescent="0.35">
      <c r="A4" t="s">
        <v>246</v>
      </c>
      <c r="B4" t="s">
        <v>298</v>
      </c>
      <c r="C4" t="s">
        <v>299</v>
      </c>
    </row>
    <row r="5" spans="1:3" x14ac:dyDescent="0.35">
      <c r="A5" t="s">
        <v>247</v>
      </c>
      <c r="B5" t="s">
        <v>300</v>
      </c>
      <c r="C5" t="s">
        <v>301</v>
      </c>
    </row>
    <row r="6" spans="1:3" x14ac:dyDescent="0.35">
      <c r="A6" t="s">
        <v>248</v>
      </c>
      <c r="B6" t="s">
        <v>302</v>
      </c>
      <c r="C6" t="s">
        <v>303</v>
      </c>
    </row>
    <row r="7" spans="1:3" x14ac:dyDescent="0.35">
      <c r="A7" t="s">
        <v>249</v>
      </c>
      <c r="B7" t="s">
        <v>304</v>
      </c>
      <c r="C7" t="s">
        <v>305</v>
      </c>
    </row>
    <row r="8" spans="1:3" x14ac:dyDescent="0.35">
      <c r="A8" t="s">
        <v>231</v>
      </c>
      <c r="B8" t="s">
        <v>306</v>
      </c>
      <c r="C8" t="s">
        <v>307</v>
      </c>
    </row>
    <row r="9" spans="1:3" x14ac:dyDescent="0.35">
      <c r="A9" t="s">
        <v>250</v>
      </c>
      <c r="B9" t="s">
        <v>308</v>
      </c>
      <c r="C9" t="s">
        <v>309</v>
      </c>
    </row>
    <row r="10" spans="1:3" x14ac:dyDescent="0.35">
      <c r="A10" t="s">
        <v>251</v>
      </c>
      <c r="B10" t="s">
        <v>310</v>
      </c>
      <c r="C10" t="s">
        <v>311</v>
      </c>
    </row>
    <row r="11" spans="1:3" x14ac:dyDescent="0.35">
      <c r="A11" t="s">
        <v>252</v>
      </c>
      <c r="B11" t="s">
        <v>312</v>
      </c>
      <c r="C11" t="s">
        <v>313</v>
      </c>
    </row>
    <row r="12" spans="1:3" x14ac:dyDescent="0.35">
      <c r="A12" t="s">
        <v>253</v>
      </c>
      <c r="B12" t="s">
        <v>314</v>
      </c>
      <c r="C12" t="s">
        <v>315</v>
      </c>
    </row>
    <row r="13" spans="1:3" x14ac:dyDescent="0.35">
      <c r="A13" t="s">
        <v>254</v>
      </c>
      <c r="B13" t="s">
        <v>316</v>
      </c>
      <c r="C13" t="s">
        <v>317</v>
      </c>
    </row>
    <row r="14" spans="1:3" x14ac:dyDescent="0.35">
      <c r="A14" t="s">
        <v>255</v>
      </c>
      <c r="B14" t="s">
        <v>318</v>
      </c>
      <c r="C14" t="s">
        <v>319</v>
      </c>
    </row>
    <row r="15" spans="1:3" x14ac:dyDescent="0.35">
      <c r="A15" t="s">
        <v>256</v>
      </c>
      <c r="B15" t="s">
        <v>320</v>
      </c>
      <c r="C15" t="s">
        <v>321</v>
      </c>
    </row>
    <row r="16" spans="1:3" x14ac:dyDescent="0.35">
      <c r="A16" t="s">
        <v>257</v>
      </c>
      <c r="B16" t="s">
        <v>322</v>
      </c>
      <c r="C16" t="s">
        <v>323</v>
      </c>
    </row>
    <row r="17" spans="1:3" x14ac:dyDescent="0.35">
      <c r="A17" t="s">
        <v>258</v>
      </c>
      <c r="B17" t="s">
        <v>324</v>
      </c>
      <c r="C17" t="s">
        <v>325</v>
      </c>
    </row>
    <row r="18" spans="1:3" x14ac:dyDescent="0.35">
      <c r="A18" t="s">
        <v>232</v>
      </c>
      <c r="B18" t="s">
        <v>326</v>
      </c>
      <c r="C18" t="s">
        <v>327</v>
      </c>
    </row>
    <row r="19" spans="1:3" x14ac:dyDescent="0.35">
      <c r="A19" t="s">
        <v>259</v>
      </c>
      <c r="B19" t="s">
        <v>328</v>
      </c>
      <c r="C19" t="s">
        <v>329</v>
      </c>
    </row>
    <row r="20" spans="1:3" x14ac:dyDescent="0.35">
      <c r="A20" t="s">
        <v>233</v>
      </c>
      <c r="B20" t="s">
        <v>330</v>
      </c>
      <c r="C20" t="s">
        <v>331</v>
      </c>
    </row>
    <row r="21" spans="1:3" x14ac:dyDescent="0.35">
      <c r="A21" t="s">
        <v>260</v>
      </c>
      <c r="B21" t="s">
        <v>332</v>
      </c>
      <c r="C21" t="s">
        <v>333</v>
      </c>
    </row>
    <row r="22" spans="1:3" x14ac:dyDescent="0.35">
      <c r="A22" t="s">
        <v>261</v>
      </c>
      <c r="B22" t="s">
        <v>334</v>
      </c>
      <c r="C22" t="s">
        <v>335</v>
      </c>
    </row>
    <row r="23" spans="1:3" x14ac:dyDescent="0.35">
      <c r="A23" t="s">
        <v>262</v>
      </c>
      <c r="B23" t="s">
        <v>336</v>
      </c>
      <c r="C23" t="s">
        <v>337</v>
      </c>
    </row>
    <row r="24" spans="1:3" x14ac:dyDescent="0.35">
      <c r="A24" t="s">
        <v>263</v>
      </c>
      <c r="B24" t="s">
        <v>338</v>
      </c>
      <c r="C24" t="s">
        <v>339</v>
      </c>
    </row>
    <row r="25" spans="1:3" x14ac:dyDescent="0.35">
      <c r="A25" t="s">
        <v>234</v>
      </c>
      <c r="B25" t="s">
        <v>340</v>
      </c>
      <c r="C25" t="s">
        <v>341</v>
      </c>
    </row>
    <row r="26" spans="1:3" x14ac:dyDescent="0.35">
      <c r="A26" t="s">
        <v>264</v>
      </c>
      <c r="B26" t="s">
        <v>342</v>
      </c>
      <c r="C26" t="s">
        <v>343</v>
      </c>
    </row>
    <row r="27" spans="1:3" x14ac:dyDescent="0.35">
      <c r="A27" t="s">
        <v>235</v>
      </c>
      <c r="B27" t="s">
        <v>344</v>
      </c>
      <c r="C27" t="s">
        <v>345</v>
      </c>
    </row>
    <row r="28" spans="1:3" x14ac:dyDescent="0.35">
      <c r="A28" t="s">
        <v>236</v>
      </c>
      <c r="B28" t="s">
        <v>346</v>
      </c>
      <c r="C28" t="s">
        <v>347</v>
      </c>
    </row>
    <row r="29" spans="1:3" x14ac:dyDescent="0.35">
      <c r="A29" t="s">
        <v>265</v>
      </c>
      <c r="B29" t="s">
        <v>348</v>
      </c>
      <c r="C29" t="s">
        <v>349</v>
      </c>
    </row>
    <row r="30" spans="1:3" x14ac:dyDescent="0.35">
      <c r="A30" t="s">
        <v>266</v>
      </c>
      <c r="B30" t="s">
        <v>350</v>
      </c>
      <c r="C30" t="s">
        <v>351</v>
      </c>
    </row>
    <row r="31" spans="1:3" x14ac:dyDescent="0.35">
      <c r="A31" t="s">
        <v>237</v>
      </c>
      <c r="B31" t="s">
        <v>352</v>
      </c>
      <c r="C31" t="s">
        <v>353</v>
      </c>
    </row>
    <row r="32" spans="1:3" x14ac:dyDescent="0.35">
      <c r="A32" t="s">
        <v>238</v>
      </c>
      <c r="B32" t="s">
        <v>354</v>
      </c>
      <c r="C32" t="s">
        <v>355</v>
      </c>
    </row>
    <row r="33" spans="1:3" x14ac:dyDescent="0.35">
      <c r="A33" t="s">
        <v>239</v>
      </c>
      <c r="B33" t="s">
        <v>356</v>
      </c>
      <c r="C33" t="s">
        <v>357</v>
      </c>
    </row>
    <row r="34" spans="1:3" x14ac:dyDescent="0.35">
      <c r="A34" t="s">
        <v>267</v>
      </c>
      <c r="B34" t="s">
        <v>358</v>
      </c>
      <c r="C34" t="s">
        <v>359</v>
      </c>
    </row>
    <row r="35" spans="1:3" x14ac:dyDescent="0.35">
      <c r="A35" t="s">
        <v>268</v>
      </c>
      <c r="B35" t="s">
        <v>360</v>
      </c>
      <c r="C35" t="s">
        <v>361</v>
      </c>
    </row>
    <row r="36" spans="1:3" x14ac:dyDescent="0.35">
      <c r="A36" t="s">
        <v>269</v>
      </c>
      <c r="B36" t="s">
        <v>362</v>
      </c>
      <c r="C36" t="s">
        <v>363</v>
      </c>
    </row>
    <row r="37" spans="1:3" x14ac:dyDescent="0.35">
      <c r="A37" t="s">
        <v>270</v>
      </c>
      <c r="B37" t="s">
        <v>364</v>
      </c>
      <c r="C37" t="s">
        <v>365</v>
      </c>
    </row>
    <row r="38" spans="1:3" x14ac:dyDescent="0.35">
      <c r="A38" t="s">
        <v>271</v>
      </c>
      <c r="B38" t="s">
        <v>366</v>
      </c>
      <c r="C38" t="s">
        <v>367</v>
      </c>
    </row>
    <row r="39" spans="1:3" x14ac:dyDescent="0.35">
      <c r="A39" t="s">
        <v>272</v>
      </c>
      <c r="B39" t="s">
        <v>368</v>
      </c>
      <c r="C39" t="s">
        <v>369</v>
      </c>
    </row>
    <row r="40" spans="1:3" x14ac:dyDescent="0.35">
      <c r="A40" t="s">
        <v>273</v>
      </c>
      <c r="B40" t="s">
        <v>370</v>
      </c>
      <c r="C40" t="s">
        <v>371</v>
      </c>
    </row>
    <row r="41" spans="1:3" x14ac:dyDescent="0.35">
      <c r="A41" t="s">
        <v>240</v>
      </c>
      <c r="B41" t="s">
        <v>372</v>
      </c>
      <c r="C41" t="s">
        <v>373</v>
      </c>
    </row>
    <row r="42" spans="1:3" x14ac:dyDescent="0.35">
      <c r="A42" t="s">
        <v>274</v>
      </c>
      <c r="B42" t="s">
        <v>374</v>
      </c>
      <c r="C42" t="s">
        <v>375</v>
      </c>
    </row>
    <row r="43" spans="1:3" x14ac:dyDescent="0.35">
      <c r="A43" t="s">
        <v>275</v>
      </c>
      <c r="B43" t="s">
        <v>376</v>
      </c>
      <c r="C43" t="s">
        <v>377</v>
      </c>
    </row>
    <row r="44" spans="1:3" x14ac:dyDescent="0.35">
      <c r="A44" t="s">
        <v>241</v>
      </c>
      <c r="B44" t="s">
        <v>378</v>
      </c>
      <c r="C44" t="s">
        <v>379</v>
      </c>
    </row>
    <row r="45" spans="1:3" x14ac:dyDescent="0.35">
      <c r="A45" t="s">
        <v>276</v>
      </c>
      <c r="B45" t="s">
        <v>380</v>
      </c>
      <c r="C45" t="s">
        <v>381</v>
      </c>
    </row>
    <row r="46" spans="1:3" x14ac:dyDescent="0.35">
      <c r="A46" t="s">
        <v>277</v>
      </c>
      <c r="B46" t="s">
        <v>382</v>
      </c>
      <c r="C46" t="s">
        <v>383</v>
      </c>
    </row>
    <row r="47" spans="1:3" x14ac:dyDescent="0.35">
      <c r="A47" t="s">
        <v>242</v>
      </c>
      <c r="B47" t="s">
        <v>384</v>
      </c>
      <c r="C47" t="s">
        <v>385</v>
      </c>
    </row>
    <row r="48" spans="1:3" x14ac:dyDescent="0.35">
      <c r="A48" t="s">
        <v>278</v>
      </c>
      <c r="B48" t="s">
        <v>386</v>
      </c>
      <c r="C48" t="s">
        <v>387</v>
      </c>
    </row>
    <row r="49" spans="1:3" x14ac:dyDescent="0.35">
      <c r="A49" t="s">
        <v>279</v>
      </c>
      <c r="B49" t="s">
        <v>388</v>
      </c>
      <c r="C49" t="s">
        <v>389</v>
      </c>
    </row>
    <row r="50" spans="1:3" x14ac:dyDescent="0.35">
      <c r="A50" t="s">
        <v>280</v>
      </c>
      <c r="B50" t="s">
        <v>390</v>
      </c>
      <c r="C50" t="s">
        <v>391</v>
      </c>
    </row>
    <row r="51" spans="1:3" x14ac:dyDescent="0.35">
      <c r="A51" t="s">
        <v>281</v>
      </c>
      <c r="B51" t="s">
        <v>392</v>
      </c>
      <c r="C51" t="s">
        <v>393</v>
      </c>
    </row>
    <row r="52" spans="1:3" x14ac:dyDescent="0.35">
      <c r="A52" t="s">
        <v>282</v>
      </c>
      <c r="B52" t="s">
        <v>394</v>
      </c>
      <c r="C52" t="s">
        <v>395</v>
      </c>
    </row>
    <row r="53" spans="1:3" x14ac:dyDescent="0.35">
      <c r="A53" t="s">
        <v>243</v>
      </c>
      <c r="B53" t="s">
        <v>396</v>
      </c>
      <c r="C53" t="s">
        <v>397</v>
      </c>
    </row>
    <row r="54" spans="1:3" x14ac:dyDescent="0.35">
      <c r="A54" t="s">
        <v>283</v>
      </c>
      <c r="B54" t="s">
        <v>398</v>
      </c>
      <c r="C54" t="s">
        <v>399</v>
      </c>
    </row>
    <row r="55" spans="1:3" x14ac:dyDescent="0.35">
      <c r="A55" t="s">
        <v>284</v>
      </c>
      <c r="B55" t="s">
        <v>400</v>
      </c>
      <c r="C55" t="s">
        <v>401</v>
      </c>
    </row>
    <row r="56" spans="1:3" x14ac:dyDescent="0.35">
      <c r="A56" t="s">
        <v>290</v>
      </c>
      <c r="B56" t="s">
        <v>402</v>
      </c>
      <c r="C56" t="s">
        <v>403</v>
      </c>
    </row>
    <row r="57" spans="1:3" x14ac:dyDescent="0.35">
      <c r="A57" t="s">
        <v>285</v>
      </c>
      <c r="B57" t="s">
        <v>404</v>
      </c>
      <c r="C57" t="s">
        <v>405</v>
      </c>
    </row>
    <row r="58" spans="1:3" x14ac:dyDescent="0.35">
      <c r="A58" t="s">
        <v>286</v>
      </c>
      <c r="B58" t="s">
        <v>406</v>
      </c>
      <c r="C58" t="s">
        <v>407</v>
      </c>
    </row>
    <row r="59" spans="1:3" x14ac:dyDescent="0.35">
      <c r="A59" t="s">
        <v>287</v>
      </c>
      <c r="B59" t="s">
        <v>342</v>
      </c>
      <c r="C59" t="s">
        <v>408</v>
      </c>
    </row>
    <row r="60" spans="1:3" x14ac:dyDescent="0.35">
      <c r="A60" t="s">
        <v>288</v>
      </c>
      <c r="B60" t="s">
        <v>409</v>
      </c>
      <c r="C60" t="s">
        <v>410</v>
      </c>
    </row>
    <row r="61" spans="1:3" x14ac:dyDescent="0.35">
      <c r="A61" t="s">
        <v>289</v>
      </c>
      <c r="B61" t="s">
        <v>411</v>
      </c>
      <c r="C6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DANHSACHSINHVIEN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2025-10-10T01:58:27Z</dcterms:created>
  <dcterms:modified xsi:type="dcterms:W3CDTF">2025-12-19T08:18:04Z</dcterms:modified>
</cp:coreProperties>
</file>